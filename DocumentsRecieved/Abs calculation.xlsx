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hay\OneDrive\Desktop\"/>
    </mc:Choice>
  </mc:AlternateContent>
  <xr:revisionPtr revIDLastSave="0" documentId="13_ncr:1_{A8477BC2-49CC-40A6-8971-B908BD809FB8}" xr6:coauthVersionLast="47" xr6:coauthVersionMax="47" xr10:uidLastSave="{00000000-0000-0000-0000-000000000000}"/>
  <bookViews>
    <workbookView xWindow="-108" yWindow="-108" windowWidth="23256" windowHeight="12456" xr2:uid="{A0428272-5491-4190-AEE0-EE816DC6E01F}"/>
  </bookViews>
  <sheets>
    <sheet name="End Point" sheetId="4" r:id="rId1"/>
    <sheet name="Kinetics" sheetId="2" r:id="rId2"/>
    <sheet name="Fixed time" sheetId="6" r:id="rId3"/>
    <sheet name="2 Point" sheetId="8" r:id="rId4"/>
    <sheet name="Turbidity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E8" i="6" s="1"/>
  <c r="I13" i="9"/>
  <c r="I12" i="9"/>
  <c r="E14" i="9"/>
  <c r="B14" i="9"/>
  <c r="I12" i="8"/>
  <c r="I13" i="8" s="1"/>
  <c r="B14" i="8"/>
  <c r="E14" i="8"/>
  <c r="B13" i="4"/>
  <c r="B12" i="4"/>
  <c r="C127" i="2"/>
  <c r="F127" i="2" s="1"/>
  <c r="B6" i="2"/>
  <c r="D29" i="2" s="1"/>
  <c r="A6" i="2"/>
  <c r="C10" i="2" s="1"/>
  <c r="F10" i="2" s="1"/>
  <c r="C121" i="2" l="1"/>
  <c r="F121" i="2" s="1"/>
  <c r="C39" i="2"/>
  <c r="F39" i="2" s="1"/>
  <c r="C104" i="2"/>
  <c r="F104" i="2" s="1"/>
  <c r="C17" i="2"/>
  <c r="F17" i="2" s="1"/>
  <c r="C103" i="2"/>
  <c r="F103" i="2" s="1"/>
  <c r="C185" i="2"/>
  <c r="F185" i="2" s="1"/>
  <c r="C16" i="2"/>
  <c r="F16" i="2" s="1"/>
  <c r="C168" i="2"/>
  <c r="F168" i="2" s="1"/>
  <c r="C81" i="2"/>
  <c r="F81" i="2" s="1"/>
  <c r="C167" i="2"/>
  <c r="F167" i="2" s="1"/>
  <c r="C80" i="2"/>
  <c r="F80" i="2" s="1"/>
  <c r="C145" i="2"/>
  <c r="F145" i="2" s="1"/>
  <c r="C63" i="2"/>
  <c r="F63" i="2" s="1"/>
  <c r="C144" i="2"/>
  <c r="F144" i="2" s="1"/>
  <c r="C57" i="2"/>
  <c r="F57" i="2" s="1"/>
  <c r="C40" i="2"/>
  <c r="F40" i="2" s="1"/>
  <c r="D164" i="2"/>
  <c r="E164" i="2" s="1"/>
  <c r="D127" i="2"/>
  <c r="G127" i="2" s="1"/>
  <c r="D163" i="2"/>
  <c r="G163" i="2" s="1"/>
  <c r="D126" i="2"/>
  <c r="D62" i="2"/>
  <c r="G62" i="2" s="1"/>
  <c r="C184" i="2"/>
  <c r="F184" i="2" s="1"/>
  <c r="C161" i="2"/>
  <c r="F161" i="2" s="1"/>
  <c r="C143" i="2"/>
  <c r="F143" i="2" s="1"/>
  <c r="C120" i="2"/>
  <c r="F120" i="2" s="1"/>
  <c r="C97" i="2"/>
  <c r="F97" i="2" s="1"/>
  <c r="C79" i="2"/>
  <c r="F79" i="2" s="1"/>
  <c r="C56" i="2"/>
  <c r="F56" i="2" s="1"/>
  <c r="C33" i="2"/>
  <c r="F33" i="2" s="1"/>
  <c r="C15" i="2"/>
  <c r="F15" i="2" s="1"/>
  <c r="D178" i="2"/>
  <c r="G178" i="2" s="1"/>
  <c r="D162" i="2"/>
  <c r="G162" i="2" s="1"/>
  <c r="D145" i="2"/>
  <c r="G145" i="2" s="1"/>
  <c r="D125" i="2"/>
  <c r="G125" i="2" s="1"/>
  <c r="D93" i="2"/>
  <c r="D61" i="2"/>
  <c r="D14" i="2"/>
  <c r="D63" i="2"/>
  <c r="G63" i="2" s="1"/>
  <c r="C183" i="2"/>
  <c r="F183" i="2" s="1"/>
  <c r="C160" i="2"/>
  <c r="F160" i="2" s="1"/>
  <c r="C137" i="2"/>
  <c r="F137" i="2" s="1"/>
  <c r="C119" i="2"/>
  <c r="F119" i="2" s="1"/>
  <c r="C96" i="2"/>
  <c r="F96" i="2" s="1"/>
  <c r="C73" i="2"/>
  <c r="F73" i="2" s="1"/>
  <c r="C55" i="2"/>
  <c r="F55" i="2" s="1"/>
  <c r="C32" i="2"/>
  <c r="F32" i="2" s="1"/>
  <c r="C9" i="2"/>
  <c r="F9" i="2" s="1"/>
  <c r="D173" i="2"/>
  <c r="G173" i="2" s="1"/>
  <c r="D157" i="2"/>
  <c r="D138" i="2"/>
  <c r="G138" i="2" s="1"/>
  <c r="D113" i="2"/>
  <c r="G113" i="2" s="1"/>
  <c r="D81" i="2"/>
  <c r="G81" i="2" s="1"/>
  <c r="D49" i="2"/>
  <c r="G49" i="2" s="1"/>
  <c r="C177" i="2"/>
  <c r="F177" i="2" s="1"/>
  <c r="C159" i="2"/>
  <c r="F159" i="2" s="1"/>
  <c r="C136" i="2"/>
  <c r="F136" i="2" s="1"/>
  <c r="C113" i="2"/>
  <c r="F113" i="2" s="1"/>
  <c r="C95" i="2"/>
  <c r="F95" i="2" s="1"/>
  <c r="C72" i="2"/>
  <c r="F72" i="2" s="1"/>
  <c r="C49" i="2"/>
  <c r="F49" i="2" s="1"/>
  <c r="C31" i="2"/>
  <c r="F31" i="2" s="1"/>
  <c r="D8" i="2"/>
  <c r="D172" i="2"/>
  <c r="E172" i="2" s="1"/>
  <c r="D156" i="2"/>
  <c r="D137" i="2"/>
  <c r="G137" i="2" s="1"/>
  <c r="D111" i="2"/>
  <c r="G111" i="2" s="1"/>
  <c r="D79" i="2"/>
  <c r="G79" i="2" s="1"/>
  <c r="D47" i="2"/>
  <c r="C176" i="2"/>
  <c r="F176" i="2" s="1"/>
  <c r="C153" i="2"/>
  <c r="F153" i="2" s="1"/>
  <c r="C135" i="2"/>
  <c r="F135" i="2" s="1"/>
  <c r="C112" i="2"/>
  <c r="F112" i="2" s="1"/>
  <c r="C89" i="2"/>
  <c r="F89" i="2" s="1"/>
  <c r="C71" i="2"/>
  <c r="F71" i="2" s="1"/>
  <c r="C48" i="2"/>
  <c r="F48" i="2" s="1"/>
  <c r="C25" i="2"/>
  <c r="F25" i="2" s="1"/>
  <c r="D187" i="2"/>
  <c r="G187" i="2" s="1"/>
  <c r="D171" i="2"/>
  <c r="G171" i="2" s="1"/>
  <c r="D155" i="2"/>
  <c r="G155" i="2" s="1"/>
  <c r="D136" i="2"/>
  <c r="G136" i="2" s="1"/>
  <c r="D110" i="2"/>
  <c r="G110" i="2" s="1"/>
  <c r="D78" i="2"/>
  <c r="G78" i="2" s="1"/>
  <c r="D46" i="2"/>
  <c r="D180" i="2"/>
  <c r="D148" i="2"/>
  <c r="D95" i="2"/>
  <c r="G95" i="2" s="1"/>
  <c r="D179" i="2"/>
  <c r="D146" i="2"/>
  <c r="G146" i="2" s="1"/>
  <c r="D94" i="2"/>
  <c r="D21" i="2"/>
  <c r="G21" i="2" s="1"/>
  <c r="C175" i="2"/>
  <c r="F175" i="2" s="1"/>
  <c r="C152" i="2"/>
  <c r="F152" i="2" s="1"/>
  <c r="C129" i="2"/>
  <c r="F129" i="2" s="1"/>
  <c r="C111" i="2"/>
  <c r="F111" i="2" s="1"/>
  <c r="C88" i="2"/>
  <c r="F88" i="2" s="1"/>
  <c r="C65" i="2"/>
  <c r="F65" i="2" s="1"/>
  <c r="C47" i="2"/>
  <c r="F47" i="2" s="1"/>
  <c r="C24" i="2"/>
  <c r="F24" i="2" s="1"/>
  <c r="D186" i="2"/>
  <c r="G186" i="2" s="1"/>
  <c r="D170" i="2"/>
  <c r="G170" i="2" s="1"/>
  <c r="D154" i="2"/>
  <c r="G154" i="2" s="1"/>
  <c r="D135" i="2"/>
  <c r="G135" i="2" s="1"/>
  <c r="D109" i="2"/>
  <c r="D77" i="2"/>
  <c r="G77" i="2" s="1"/>
  <c r="D45" i="2"/>
  <c r="G45" i="2" s="1"/>
  <c r="D22" i="2"/>
  <c r="C169" i="2"/>
  <c r="F169" i="2" s="1"/>
  <c r="C151" i="2"/>
  <c r="F151" i="2" s="1"/>
  <c r="C128" i="2"/>
  <c r="F128" i="2" s="1"/>
  <c r="C105" i="2"/>
  <c r="F105" i="2" s="1"/>
  <c r="C87" i="2"/>
  <c r="F87" i="2" s="1"/>
  <c r="C64" i="2"/>
  <c r="F64" i="2" s="1"/>
  <c r="C41" i="2"/>
  <c r="F41" i="2" s="1"/>
  <c r="C23" i="2"/>
  <c r="F23" i="2" s="1"/>
  <c r="D181" i="2"/>
  <c r="D165" i="2"/>
  <c r="G165" i="2" s="1"/>
  <c r="D149" i="2"/>
  <c r="G149" i="2" s="1"/>
  <c r="D128" i="2"/>
  <c r="G128" i="2" s="1"/>
  <c r="D97" i="2"/>
  <c r="G97" i="2" s="1"/>
  <c r="D65" i="2"/>
  <c r="G65" i="2" s="1"/>
  <c r="E145" i="2"/>
  <c r="G22" i="2"/>
  <c r="G94" i="2"/>
  <c r="E94" i="2"/>
  <c r="E137" i="2"/>
  <c r="C174" i="2"/>
  <c r="F174" i="2" s="1"/>
  <c r="C150" i="2"/>
  <c r="F150" i="2" s="1"/>
  <c r="C134" i="2"/>
  <c r="F134" i="2" s="1"/>
  <c r="C126" i="2"/>
  <c r="F126" i="2" s="1"/>
  <c r="C118" i="2"/>
  <c r="F118" i="2" s="1"/>
  <c r="C110" i="2"/>
  <c r="F110" i="2" s="1"/>
  <c r="C102" i="2"/>
  <c r="F102" i="2" s="1"/>
  <c r="C94" i="2"/>
  <c r="F94" i="2" s="1"/>
  <c r="C86" i="2"/>
  <c r="F86" i="2" s="1"/>
  <c r="C78" i="2"/>
  <c r="F78" i="2" s="1"/>
  <c r="C70" i="2"/>
  <c r="F70" i="2" s="1"/>
  <c r="C62" i="2"/>
  <c r="F62" i="2" s="1"/>
  <c r="C54" i="2"/>
  <c r="F54" i="2" s="1"/>
  <c r="C46" i="2"/>
  <c r="F46" i="2" s="1"/>
  <c r="C38" i="2"/>
  <c r="F38" i="2" s="1"/>
  <c r="C14" i="2"/>
  <c r="F14" i="2" s="1"/>
  <c r="G109" i="2"/>
  <c r="E109" i="2"/>
  <c r="G93" i="2"/>
  <c r="G61" i="2"/>
  <c r="E45" i="2"/>
  <c r="G14" i="2"/>
  <c r="G181" i="2"/>
  <c r="E49" i="2"/>
  <c r="G8" i="2"/>
  <c r="G156" i="2"/>
  <c r="E63" i="2"/>
  <c r="G46" i="2"/>
  <c r="G179" i="2"/>
  <c r="C158" i="2"/>
  <c r="F158" i="2" s="1"/>
  <c r="D15" i="2"/>
  <c r="D23" i="2"/>
  <c r="D31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9" i="2"/>
  <c r="D17" i="2"/>
  <c r="D25" i="2"/>
  <c r="D33" i="2"/>
  <c r="D41" i="2"/>
  <c r="D10" i="2"/>
  <c r="D18" i="2"/>
  <c r="D26" i="2"/>
  <c r="D34" i="2"/>
  <c r="D42" i="2"/>
  <c r="D50" i="2"/>
  <c r="D58" i="2"/>
  <c r="D66" i="2"/>
  <c r="D74" i="2"/>
  <c r="D82" i="2"/>
  <c r="D90" i="2"/>
  <c r="D98" i="2"/>
  <c r="D106" i="2"/>
  <c r="D114" i="2"/>
  <c r="D122" i="2"/>
  <c r="D11" i="2"/>
  <c r="D19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131" i="2"/>
  <c r="D139" i="2"/>
  <c r="D147" i="2"/>
  <c r="D12" i="2"/>
  <c r="D20" i="2"/>
  <c r="D28" i="2"/>
  <c r="D36" i="2"/>
  <c r="D44" i="2"/>
  <c r="D52" i="2"/>
  <c r="D60" i="2"/>
  <c r="D68" i="2"/>
  <c r="D76" i="2"/>
  <c r="D84" i="2"/>
  <c r="D92" i="2"/>
  <c r="D100" i="2"/>
  <c r="D108" i="2"/>
  <c r="D116" i="2"/>
  <c r="D124" i="2"/>
  <c r="D132" i="2"/>
  <c r="D140" i="2"/>
  <c r="C181" i="2"/>
  <c r="F181" i="2" s="1"/>
  <c r="C173" i="2"/>
  <c r="F173" i="2" s="1"/>
  <c r="C165" i="2"/>
  <c r="F165" i="2" s="1"/>
  <c r="C157" i="2"/>
  <c r="F157" i="2" s="1"/>
  <c r="C149" i="2"/>
  <c r="F149" i="2" s="1"/>
  <c r="C141" i="2"/>
  <c r="F141" i="2" s="1"/>
  <c r="C133" i="2"/>
  <c r="F133" i="2" s="1"/>
  <c r="C125" i="2"/>
  <c r="F125" i="2" s="1"/>
  <c r="C117" i="2"/>
  <c r="F117" i="2" s="1"/>
  <c r="C109" i="2"/>
  <c r="F109" i="2" s="1"/>
  <c r="C101" i="2"/>
  <c r="F101" i="2" s="1"/>
  <c r="C93" i="2"/>
  <c r="F93" i="2" s="1"/>
  <c r="C85" i="2"/>
  <c r="F85" i="2" s="1"/>
  <c r="C77" i="2"/>
  <c r="F77" i="2" s="1"/>
  <c r="C69" i="2"/>
  <c r="F69" i="2" s="1"/>
  <c r="C61" i="2"/>
  <c r="F61" i="2" s="1"/>
  <c r="C53" i="2"/>
  <c r="F53" i="2" s="1"/>
  <c r="C45" i="2"/>
  <c r="F45" i="2" s="1"/>
  <c r="C37" i="2"/>
  <c r="F37" i="2" s="1"/>
  <c r="C29" i="2"/>
  <c r="F29" i="2" s="1"/>
  <c r="C21" i="2"/>
  <c r="F21" i="2" s="1"/>
  <c r="C13" i="2"/>
  <c r="F13" i="2" s="1"/>
  <c r="D185" i="2"/>
  <c r="D177" i="2"/>
  <c r="D169" i="2"/>
  <c r="D161" i="2"/>
  <c r="D153" i="2"/>
  <c r="D144" i="2"/>
  <c r="D134" i="2"/>
  <c r="D121" i="2"/>
  <c r="D105" i="2"/>
  <c r="D89" i="2"/>
  <c r="D73" i="2"/>
  <c r="D57" i="2"/>
  <c r="D39" i="2"/>
  <c r="D13" i="2"/>
  <c r="E65" i="2"/>
  <c r="C8" i="2"/>
  <c r="F8" i="2" s="1"/>
  <c r="C180" i="2"/>
  <c r="F180" i="2" s="1"/>
  <c r="C172" i="2"/>
  <c r="F172" i="2" s="1"/>
  <c r="C164" i="2"/>
  <c r="F164" i="2" s="1"/>
  <c r="C156" i="2"/>
  <c r="F156" i="2" s="1"/>
  <c r="C148" i="2"/>
  <c r="F148" i="2" s="1"/>
  <c r="C140" i="2"/>
  <c r="F140" i="2" s="1"/>
  <c r="C132" i="2"/>
  <c r="F132" i="2" s="1"/>
  <c r="C124" i="2"/>
  <c r="F124" i="2" s="1"/>
  <c r="C116" i="2"/>
  <c r="F116" i="2" s="1"/>
  <c r="C108" i="2"/>
  <c r="F108" i="2" s="1"/>
  <c r="C100" i="2"/>
  <c r="F100" i="2" s="1"/>
  <c r="C92" i="2"/>
  <c r="F92" i="2" s="1"/>
  <c r="C84" i="2"/>
  <c r="F84" i="2" s="1"/>
  <c r="C76" i="2"/>
  <c r="F76" i="2" s="1"/>
  <c r="C68" i="2"/>
  <c r="F68" i="2" s="1"/>
  <c r="C60" i="2"/>
  <c r="F60" i="2" s="1"/>
  <c r="C52" i="2"/>
  <c r="F52" i="2" s="1"/>
  <c r="C44" i="2"/>
  <c r="F44" i="2" s="1"/>
  <c r="C36" i="2"/>
  <c r="F36" i="2" s="1"/>
  <c r="C28" i="2"/>
  <c r="F28" i="2" s="1"/>
  <c r="C20" i="2"/>
  <c r="F20" i="2" s="1"/>
  <c r="C12" i="2"/>
  <c r="F12" i="2" s="1"/>
  <c r="D184" i="2"/>
  <c r="D176" i="2"/>
  <c r="D168" i="2"/>
  <c r="D160" i="2"/>
  <c r="D152" i="2"/>
  <c r="D143" i="2"/>
  <c r="D133" i="2"/>
  <c r="D119" i="2"/>
  <c r="D103" i="2"/>
  <c r="D87" i="2"/>
  <c r="D71" i="2"/>
  <c r="D55" i="2"/>
  <c r="D38" i="2"/>
  <c r="G157" i="2"/>
  <c r="E157" i="2"/>
  <c r="G29" i="2"/>
  <c r="E113" i="2"/>
  <c r="G180" i="2"/>
  <c r="E180" i="2"/>
  <c r="G164" i="2"/>
  <c r="G148" i="2"/>
  <c r="E148" i="2"/>
  <c r="E79" i="2"/>
  <c r="G47" i="2"/>
  <c r="E47" i="2"/>
  <c r="C182" i="2"/>
  <c r="F182" i="2" s="1"/>
  <c r="C166" i="2"/>
  <c r="F166" i="2" s="1"/>
  <c r="C142" i="2"/>
  <c r="F142" i="2" s="1"/>
  <c r="C22" i="2"/>
  <c r="F22" i="2" s="1"/>
  <c r="C187" i="2"/>
  <c r="F187" i="2" s="1"/>
  <c r="C179" i="2"/>
  <c r="F179" i="2" s="1"/>
  <c r="C171" i="2"/>
  <c r="F171" i="2" s="1"/>
  <c r="C163" i="2"/>
  <c r="F163" i="2" s="1"/>
  <c r="C155" i="2"/>
  <c r="F155" i="2" s="1"/>
  <c r="C147" i="2"/>
  <c r="F147" i="2" s="1"/>
  <c r="C139" i="2"/>
  <c r="F139" i="2" s="1"/>
  <c r="C131" i="2"/>
  <c r="F131" i="2" s="1"/>
  <c r="C123" i="2"/>
  <c r="F123" i="2" s="1"/>
  <c r="C115" i="2"/>
  <c r="F115" i="2" s="1"/>
  <c r="C107" i="2"/>
  <c r="F107" i="2" s="1"/>
  <c r="C99" i="2"/>
  <c r="F99" i="2" s="1"/>
  <c r="C91" i="2"/>
  <c r="F91" i="2" s="1"/>
  <c r="C83" i="2"/>
  <c r="F83" i="2" s="1"/>
  <c r="C75" i="2"/>
  <c r="F75" i="2" s="1"/>
  <c r="C67" i="2"/>
  <c r="F67" i="2" s="1"/>
  <c r="C59" i="2"/>
  <c r="F59" i="2" s="1"/>
  <c r="C51" i="2"/>
  <c r="F51" i="2" s="1"/>
  <c r="C43" i="2"/>
  <c r="F43" i="2" s="1"/>
  <c r="C35" i="2"/>
  <c r="F35" i="2" s="1"/>
  <c r="C27" i="2"/>
  <c r="F27" i="2" s="1"/>
  <c r="C19" i="2"/>
  <c r="F19" i="2" s="1"/>
  <c r="C11" i="2"/>
  <c r="F11" i="2" s="1"/>
  <c r="D183" i="2"/>
  <c r="D175" i="2"/>
  <c r="D167" i="2"/>
  <c r="D159" i="2"/>
  <c r="D151" i="2"/>
  <c r="D142" i="2"/>
  <c r="D130" i="2"/>
  <c r="D118" i="2"/>
  <c r="D102" i="2"/>
  <c r="D86" i="2"/>
  <c r="D70" i="2"/>
  <c r="D54" i="2"/>
  <c r="D37" i="2"/>
  <c r="E81" i="2"/>
  <c r="G172" i="2"/>
  <c r="G126" i="2"/>
  <c r="C30" i="2"/>
  <c r="F30" i="2" s="1"/>
  <c r="C186" i="2"/>
  <c r="F186" i="2" s="1"/>
  <c r="C178" i="2"/>
  <c r="F178" i="2" s="1"/>
  <c r="C170" i="2"/>
  <c r="C162" i="2"/>
  <c r="F162" i="2" s="1"/>
  <c r="C154" i="2"/>
  <c r="F154" i="2" s="1"/>
  <c r="C146" i="2"/>
  <c r="F146" i="2" s="1"/>
  <c r="C138" i="2"/>
  <c r="F138" i="2" s="1"/>
  <c r="C130" i="2"/>
  <c r="F130" i="2" s="1"/>
  <c r="C122" i="2"/>
  <c r="F122" i="2" s="1"/>
  <c r="C114" i="2"/>
  <c r="F114" i="2" s="1"/>
  <c r="C106" i="2"/>
  <c r="F106" i="2" s="1"/>
  <c r="C98" i="2"/>
  <c r="F98" i="2" s="1"/>
  <c r="C90" i="2"/>
  <c r="F90" i="2" s="1"/>
  <c r="C82" i="2"/>
  <c r="F82" i="2" s="1"/>
  <c r="C74" i="2"/>
  <c r="F74" i="2" s="1"/>
  <c r="C66" i="2"/>
  <c r="F66" i="2" s="1"/>
  <c r="C58" i="2"/>
  <c r="F58" i="2" s="1"/>
  <c r="C50" i="2"/>
  <c r="F50" i="2" s="1"/>
  <c r="C42" i="2"/>
  <c r="F42" i="2" s="1"/>
  <c r="C34" i="2"/>
  <c r="F34" i="2" s="1"/>
  <c r="C26" i="2"/>
  <c r="F26" i="2" s="1"/>
  <c r="C18" i="2"/>
  <c r="F18" i="2" s="1"/>
  <c r="D182" i="2"/>
  <c r="D174" i="2"/>
  <c r="D166" i="2"/>
  <c r="D158" i="2"/>
  <c r="D150" i="2"/>
  <c r="D141" i="2"/>
  <c r="D129" i="2"/>
  <c r="D117" i="2"/>
  <c r="D101" i="2"/>
  <c r="D85" i="2"/>
  <c r="D69" i="2"/>
  <c r="D53" i="2"/>
  <c r="D30" i="2"/>
  <c r="E97" i="2" l="1"/>
  <c r="E125" i="2"/>
  <c r="E8" i="2"/>
  <c r="E127" i="2"/>
  <c r="E78" i="2"/>
  <c r="E14" i="2"/>
  <c r="E62" i="2"/>
  <c r="E126" i="2"/>
  <c r="E111" i="2"/>
  <c r="E136" i="2"/>
  <c r="E95" i="2"/>
  <c r="E181" i="2"/>
  <c r="E61" i="2"/>
  <c r="E135" i="2"/>
  <c r="E128" i="2"/>
  <c r="G69" i="2"/>
  <c r="E69" i="2"/>
  <c r="G54" i="2"/>
  <c r="E54" i="2"/>
  <c r="G134" i="2"/>
  <c r="E134" i="2"/>
  <c r="G116" i="2"/>
  <c r="E116" i="2"/>
  <c r="E131" i="2"/>
  <c r="G131" i="2"/>
  <c r="E122" i="2"/>
  <c r="G122" i="2"/>
  <c r="G58" i="2"/>
  <c r="E58" i="2"/>
  <c r="G88" i="2"/>
  <c r="E88" i="2"/>
  <c r="G85" i="2"/>
  <c r="E85" i="2"/>
  <c r="G174" i="2"/>
  <c r="E174" i="2"/>
  <c r="G70" i="2"/>
  <c r="E70" i="2"/>
  <c r="G44" i="2"/>
  <c r="E44" i="2"/>
  <c r="E59" i="2"/>
  <c r="G59" i="2"/>
  <c r="E50" i="2"/>
  <c r="G50" i="2"/>
  <c r="G80" i="2"/>
  <c r="E80" i="2"/>
  <c r="E110" i="2"/>
  <c r="G101" i="2"/>
  <c r="E101" i="2"/>
  <c r="G175" i="2"/>
  <c r="E175" i="2"/>
  <c r="G143" i="2"/>
  <c r="E143" i="2"/>
  <c r="G39" i="2"/>
  <c r="E39" i="2"/>
  <c r="G36" i="2"/>
  <c r="E36" i="2"/>
  <c r="E51" i="2"/>
  <c r="G51" i="2"/>
  <c r="E42" i="2"/>
  <c r="G42" i="2"/>
  <c r="G31" i="2"/>
  <c r="E31" i="2"/>
  <c r="E165" i="2"/>
  <c r="G117" i="2"/>
  <c r="E117" i="2"/>
  <c r="G102" i="2"/>
  <c r="E102" i="2"/>
  <c r="G183" i="2"/>
  <c r="E183" i="2"/>
  <c r="E171" i="2"/>
  <c r="G38" i="2"/>
  <c r="E38" i="2"/>
  <c r="G152" i="2"/>
  <c r="E152" i="2"/>
  <c r="G57" i="2"/>
  <c r="E57" i="2"/>
  <c r="G161" i="2"/>
  <c r="E161" i="2"/>
  <c r="G92" i="2"/>
  <c r="E92" i="2"/>
  <c r="G28" i="2"/>
  <c r="E28" i="2"/>
  <c r="E107" i="2"/>
  <c r="G107" i="2"/>
  <c r="E43" i="2"/>
  <c r="G43" i="2"/>
  <c r="G98" i="2"/>
  <c r="E98" i="2"/>
  <c r="G34" i="2"/>
  <c r="E34" i="2"/>
  <c r="G9" i="2"/>
  <c r="E9" i="2"/>
  <c r="G64" i="2"/>
  <c r="E64" i="2"/>
  <c r="G23" i="2"/>
  <c r="E23" i="2"/>
  <c r="E179" i="2"/>
  <c r="E156" i="2"/>
  <c r="G182" i="2"/>
  <c r="E182" i="2"/>
  <c r="G129" i="2"/>
  <c r="E129" i="2"/>
  <c r="G118" i="2"/>
  <c r="E118" i="2"/>
  <c r="G55" i="2"/>
  <c r="E55" i="2"/>
  <c r="G160" i="2"/>
  <c r="E160" i="2"/>
  <c r="G73" i="2"/>
  <c r="E73" i="2"/>
  <c r="G169" i="2"/>
  <c r="E169" i="2"/>
  <c r="G84" i="2"/>
  <c r="E84" i="2"/>
  <c r="G20" i="2"/>
  <c r="E20" i="2"/>
  <c r="E99" i="2"/>
  <c r="G99" i="2"/>
  <c r="E35" i="2"/>
  <c r="G35" i="2"/>
  <c r="G90" i="2"/>
  <c r="E90" i="2"/>
  <c r="E26" i="2"/>
  <c r="G26" i="2"/>
  <c r="G120" i="2"/>
  <c r="E120" i="2"/>
  <c r="G56" i="2"/>
  <c r="E56" i="2"/>
  <c r="G15" i="2"/>
  <c r="E15" i="2"/>
  <c r="E138" i="2"/>
  <c r="E155" i="2"/>
  <c r="E146" i="2"/>
  <c r="G141" i="2"/>
  <c r="E141" i="2"/>
  <c r="E173" i="2"/>
  <c r="G130" i="2"/>
  <c r="E130" i="2"/>
  <c r="G71" i="2"/>
  <c r="E71" i="2"/>
  <c r="G168" i="2"/>
  <c r="E168" i="2"/>
  <c r="G89" i="2"/>
  <c r="E89" i="2"/>
  <c r="G177" i="2"/>
  <c r="E177" i="2"/>
  <c r="G140" i="2"/>
  <c r="E140" i="2"/>
  <c r="G76" i="2"/>
  <c r="E76" i="2"/>
  <c r="G12" i="2"/>
  <c r="E12" i="2"/>
  <c r="E91" i="2"/>
  <c r="G91" i="2"/>
  <c r="E27" i="2"/>
  <c r="G27" i="2"/>
  <c r="E82" i="2"/>
  <c r="G82" i="2"/>
  <c r="E18" i="2"/>
  <c r="G18" i="2"/>
  <c r="G112" i="2"/>
  <c r="E112" i="2"/>
  <c r="G48" i="2"/>
  <c r="E48" i="2"/>
  <c r="E77" i="2"/>
  <c r="E22" i="2"/>
  <c r="E154" i="2"/>
  <c r="G30" i="2"/>
  <c r="E30" i="2"/>
  <c r="G150" i="2"/>
  <c r="E150" i="2"/>
  <c r="F170" i="2"/>
  <c r="J9" i="2" s="1"/>
  <c r="E170" i="2"/>
  <c r="E163" i="2"/>
  <c r="G142" i="2"/>
  <c r="E142" i="2"/>
  <c r="G87" i="2"/>
  <c r="E87" i="2"/>
  <c r="G176" i="2"/>
  <c r="E176" i="2"/>
  <c r="G105" i="2"/>
  <c r="E105" i="2"/>
  <c r="G185" i="2"/>
  <c r="E185" i="2"/>
  <c r="G132" i="2"/>
  <c r="E132" i="2"/>
  <c r="G68" i="2"/>
  <c r="E68" i="2"/>
  <c r="E147" i="2"/>
  <c r="G147" i="2"/>
  <c r="E83" i="2"/>
  <c r="G83" i="2"/>
  <c r="E19" i="2"/>
  <c r="G19" i="2"/>
  <c r="G74" i="2"/>
  <c r="E74" i="2"/>
  <c r="G10" i="2"/>
  <c r="E10" i="2"/>
  <c r="G104" i="2"/>
  <c r="E104" i="2"/>
  <c r="G40" i="2"/>
  <c r="E40" i="2"/>
  <c r="E162" i="2"/>
  <c r="E186" i="2"/>
  <c r="G166" i="2"/>
  <c r="E166" i="2"/>
  <c r="G159" i="2"/>
  <c r="E159" i="2"/>
  <c r="G119" i="2"/>
  <c r="E119" i="2"/>
  <c r="G52" i="2"/>
  <c r="E52" i="2"/>
  <c r="E67" i="2"/>
  <c r="G67" i="2"/>
  <c r="G33" i="2"/>
  <c r="E33" i="2"/>
  <c r="G24" i="2"/>
  <c r="E24" i="2"/>
  <c r="E149" i="2"/>
  <c r="E21" i="2"/>
  <c r="G167" i="2"/>
  <c r="E167" i="2"/>
  <c r="G133" i="2"/>
  <c r="E133" i="2"/>
  <c r="G13" i="2"/>
  <c r="E13" i="2"/>
  <c r="G144" i="2"/>
  <c r="E144" i="2"/>
  <c r="G108" i="2"/>
  <c r="E108" i="2"/>
  <c r="E123" i="2"/>
  <c r="G123" i="2"/>
  <c r="E114" i="2"/>
  <c r="G114" i="2"/>
  <c r="G25" i="2"/>
  <c r="E25" i="2"/>
  <c r="G16" i="2"/>
  <c r="E16" i="2"/>
  <c r="G86" i="2"/>
  <c r="E86" i="2"/>
  <c r="G153" i="2"/>
  <c r="E153" i="2"/>
  <c r="G100" i="2"/>
  <c r="E100" i="2"/>
  <c r="E115" i="2"/>
  <c r="G115" i="2"/>
  <c r="E106" i="2"/>
  <c r="G106" i="2"/>
  <c r="G17" i="2"/>
  <c r="E17" i="2"/>
  <c r="G72" i="2"/>
  <c r="E72" i="2"/>
  <c r="G53" i="2"/>
  <c r="E53" i="2"/>
  <c r="G158" i="2"/>
  <c r="E158" i="2"/>
  <c r="E187" i="2"/>
  <c r="G37" i="2"/>
  <c r="E37" i="2"/>
  <c r="G151" i="2"/>
  <c r="E151" i="2"/>
  <c r="E29" i="2"/>
  <c r="G103" i="2"/>
  <c r="E103" i="2"/>
  <c r="G184" i="2"/>
  <c r="E184" i="2"/>
  <c r="G121" i="2"/>
  <c r="E121" i="2"/>
  <c r="G124" i="2"/>
  <c r="E124" i="2"/>
  <c r="G60" i="2"/>
  <c r="E60" i="2"/>
  <c r="E139" i="2"/>
  <c r="G139" i="2"/>
  <c r="E75" i="2"/>
  <c r="G75" i="2"/>
  <c r="E11" i="2"/>
  <c r="G11" i="2"/>
  <c r="G66" i="2"/>
  <c r="E66" i="2"/>
  <c r="G41" i="2"/>
  <c r="E41" i="2"/>
  <c r="G96" i="2"/>
  <c r="E96" i="2"/>
  <c r="G32" i="2"/>
  <c r="E32" i="2"/>
  <c r="E46" i="2"/>
  <c r="E93" i="2"/>
  <c r="E178" i="2"/>
  <c r="J8" i="2" l="1"/>
  <c r="J10" i="2" s="1"/>
  <c r="J11" i="2" s="1"/>
  <c r="J12" i="2" s="1"/>
</calcChain>
</file>

<file path=xl/sharedStrings.xml><?xml version="1.0" encoding="utf-8"?>
<sst xmlns="http://schemas.openxmlformats.org/spreadsheetml/2006/main" count="100" uniqueCount="48">
  <si>
    <t>x-x'</t>
  </si>
  <si>
    <t>y-y'</t>
  </si>
  <si>
    <t>(x-x')*(y-y')</t>
  </si>
  <si>
    <t>Y=bx+a</t>
  </si>
  <si>
    <t>(x-x')2</t>
  </si>
  <si>
    <t>(y-y')2</t>
  </si>
  <si>
    <t>time(x)</t>
  </si>
  <si>
    <t>Absorbance(y)</t>
  </si>
  <si>
    <t xml:space="preserve">incubation time </t>
  </si>
  <si>
    <t>60sec</t>
  </si>
  <si>
    <t>Measuring time</t>
  </si>
  <si>
    <t>180sec</t>
  </si>
  <si>
    <t>we need to calculate b(slope) value in this formula</t>
  </si>
  <si>
    <t>sum of (x-x')*(y-y')</t>
  </si>
  <si>
    <t>sum of (x-x')2</t>
  </si>
  <si>
    <t>b(slope)</t>
  </si>
  <si>
    <t>slope abs value per second. Using this value, we need to calculate the final result</t>
  </si>
  <si>
    <t>Convert to minutes</t>
  </si>
  <si>
    <t>Multiplying factor value</t>
  </si>
  <si>
    <t>mg/dl  final result</t>
  </si>
  <si>
    <t>Abs/min</t>
  </si>
  <si>
    <t>average of time(x')</t>
  </si>
  <si>
    <t>average of abs(y')</t>
  </si>
  <si>
    <t>Abs calculation for kinetics</t>
  </si>
  <si>
    <t>5Sec</t>
  </si>
  <si>
    <t>Abs calculation for End point</t>
  </si>
  <si>
    <t>Multipling factor</t>
  </si>
  <si>
    <t>mg/dl</t>
  </si>
  <si>
    <t>Measuring time 1</t>
  </si>
  <si>
    <t>Measuring time 2</t>
  </si>
  <si>
    <t>90sec</t>
  </si>
  <si>
    <t>Abs calculation for Fixed time</t>
  </si>
  <si>
    <t xml:space="preserve">Final abs </t>
  </si>
  <si>
    <t>Multiplying factor</t>
  </si>
  <si>
    <t>A1</t>
  </si>
  <si>
    <t>A2</t>
  </si>
  <si>
    <t>A2-A1</t>
  </si>
  <si>
    <t>Abs(avg)</t>
  </si>
  <si>
    <t>Abs calculation for 2 Point</t>
  </si>
  <si>
    <t>5sec</t>
  </si>
  <si>
    <t xml:space="preserve">Measuring time </t>
  </si>
  <si>
    <t>Aspiration 1</t>
  </si>
  <si>
    <t>Aspiration 2</t>
  </si>
  <si>
    <t>Abs avg (A1)</t>
  </si>
  <si>
    <t>Abs avg (A2)</t>
  </si>
  <si>
    <t>*factor value is just for reference</t>
  </si>
  <si>
    <t>A1/A2</t>
  </si>
  <si>
    <t>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</si>
</sst>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167640</xdr:rowOff>
    </xdr:from>
    <xdr:to>
      <xdr:col>10</xdr:col>
      <xdr:colOff>1743343</xdr:colOff>
      <xdr:row>5</xdr:row>
      <xdr:rowOff>133427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E9B01-249D-DCD6-3749-70FC2487E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860" y="167640"/>
          <a:ext cx="3093988" cy="883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6330-54E6-4207-BFDE-2B35E8A78DF0}">
  <dimension ref="A1:C13"/>
  <sheetViews>
    <sheetView tabSelected="1"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26.44140625" bestFit="1" customWidth="1"/>
    <col min="3" max="3" width="11.21875" customWidth="1"/>
    <col min="4" max="4" width="12" customWidth="1"/>
  </cols>
  <sheetData>
    <row r="1" spans="1:3" x14ac:dyDescent="0.3">
      <c r="A1" s="1" t="s">
        <v>25</v>
      </c>
      <c r="B1" s="1"/>
    </row>
    <row r="2" spans="1:3" x14ac:dyDescent="0.3">
      <c r="A2" s="1" t="s">
        <v>8</v>
      </c>
      <c r="B2" t="s">
        <v>24</v>
      </c>
    </row>
    <row r="3" spans="1:3" x14ac:dyDescent="0.3">
      <c r="A3" s="1" t="s">
        <v>10</v>
      </c>
      <c r="B3" t="s">
        <v>24</v>
      </c>
    </row>
    <row r="4" spans="1:3" x14ac:dyDescent="0.3">
      <c r="A4" s="1"/>
    </row>
    <row r="5" spans="1:3" x14ac:dyDescent="0.3">
      <c r="A5" s="2" t="s">
        <v>6</v>
      </c>
      <c r="B5" s="2" t="s">
        <v>7</v>
      </c>
    </row>
    <row r="6" spans="1:3" x14ac:dyDescent="0.3">
      <c r="A6" s="3">
        <v>1</v>
      </c>
      <c r="B6" s="3">
        <v>1.5172887401013309</v>
      </c>
    </row>
    <row r="7" spans="1:3" x14ac:dyDescent="0.3">
      <c r="A7" s="3">
        <v>2</v>
      </c>
      <c r="B7" s="3">
        <v>1.5164033280068761</v>
      </c>
    </row>
    <row r="8" spans="1:3" x14ac:dyDescent="0.3">
      <c r="A8" s="3">
        <v>3</v>
      </c>
      <c r="B8" s="3">
        <v>1.5164033280068761</v>
      </c>
    </row>
    <row r="9" spans="1:3" x14ac:dyDescent="0.3">
      <c r="A9" s="3">
        <v>4</v>
      </c>
      <c r="B9" s="3">
        <v>1.5164033280068761</v>
      </c>
    </row>
    <row r="10" spans="1:3" x14ac:dyDescent="0.3">
      <c r="A10" s="3">
        <v>5</v>
      </c>
      <c r="B10" s="3">
        <v>1.5164033280068761</v>
      </c>
      <c r="C10" s="1"/>
    </row>
    <row r="12" spans="1:3" x14ac:dyDescent="0.3">
      <c r="A12" s="1" t="s">
        <v>37</v>
      </c>
      <c r="B12" s="1">
        <f>AVERAGE(B6:B10)</f>
        <v>1.516580410425767</v>
      </c>
    </row>
    <row r="13" spans="1:3" x14ac:dyDescent="0.3">
      <c r="A13" s="1" t="s">
        <v>26</v>
      </c>
      <c r="B13" s="1">
        <f>B12*420</f>
        <v>636.96377237882211</v>
      </c>
      <c r="C13" s="1" t="s">
        <v>27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29F4-AE7B-4FAA-BEA2-5C5BD3A6AF0F}">
  <dimension ref="A1:K187"/>
  <sheetViews>
    <sheetView workbookViewId="0">
      <selection activeCell="I19" sqref="I19"/>
    </sheetView>
  </sheetViews>
  <sheetFormatPr defaultRowHeight="14.4" x14ac:dyDescent="0.3"/>
  <cols>
    <col min="1" max="1" width="23.6640625" bestFit="1" customWidth="1"/>
    <col min="2" max="2" width="26.44140625" bestFit="1" customWidth="1"/>
    <col min="9" max="9" width="21.33203125" bestFit="1" customWidth="1"/>
    <col min="10" max="10" width="21.33203125" customWidth="1"/>
    <col min="11" max="11" width="67.6640625" bestFit="1" customWidth="1"/>
    <col min="12" max="12" width="12" customWidth="1"/>
  </cols>
  <sheetData>
    <row r="1" spans="1:11" x14ac:dyDescent="0.3">
      <c r="A1" s="1" t="s">
        <v>23</v>
      </c>
      <c r="B1" s="1"/>
    </row>
    <row r="2" spans="1:11" x14ac:dyDescent="0.3">
      <c r="A2" s="1" t="s">
        <v>8</v>
      </c>
      <c r="B2" t="s">
        <v>9</v>
      </c>
    </row>
    <row r="3" spans="1:11" x14ac:dyDescent="0.3">
      <c r="A3" s="1" t="s">
        <v>10</v>
      </c>
      <c r="B3" t="s">
        <v>11</v>
      </c>
      <c r="E3" s="1" t="s">
        <v>3</v>
      </c>
      <c r="F3" t="s">
        <v>12</v>
      </c>
    </row>
    <row r="4" spans="1:11" x14ac:dyDescent="0.3">
      <c r="A4" s="1"/>
    </row>
    <row r="5" spans="1:11" x14ac:dyDescent="0.3">
      <c r="A5" s="1" t="s">
        <v>21</v>
      </c>
      <c r="B5" s="1" t="s">
        <v>22</v>
      </c>
    </row>
    <row r="6" spans="1:11" x14ac:dyDescent="0.3">
      <c r="A6">
        <f>AVERAGE(A8:A187)</f>
        <v>90.5</v>
      </c>
      <c r="B6">
        <f>AVERAGE(B8:B187)</f>
        <v>1.4861114020246184</v>
      </c>
    </row>
    <row r="7" spans="1:11" x14ac:dyDescent="0.3">
      <c r="A7" s="1" t="s">
        <v>6</v>
      </c>
      <c r="B7" s="1" t="s">
        <v>7</v>
      </c>
      <c r="C7" s="1" t="s">
        <v>0</v>
      </c>
      <c r="D7" s="1" t="s">
        <v>1</v>
      </c>
      <c r="E7" s="1" t="s">
        <v>2</v>
      </c>
      <c r="F7" s="1" t="s">
        <v>4</v>
      </c>
      <c r="G7" s="1" t="s">
        <v>5</v>
      </c>
      <c r="I7" s="1"/>
    </row>
    <row r="8" spans="1:11" x14ac:dyDescent="0.3">
      <c r="A8">
        <v>1</v>
      </c>
      <c r="B8">
        <v>1.5172887401013309</v>
      </c>
      <c r="C8">
        <f>A8-$A$6</f>
        <v>-89.5</v>
      </c>
      <c r="D8">
        <f>B8-$B$6</f>
        <v>3.1177338076712413E-2</v>
      </c>
      <c r="E8">
        <f>D8*C8</f>
        <v>-2.7903717578657607</v>
      </c>
      <c r="F8">
        <f>C8*C8</f>
        <v>8010.25</v>
      </c>
      <c r="G8">
        <f>D8*D8</f>
        <v>9.7202640954962172E-4</v>
      </c>
      <c r="I8" s="2" t="s">
        <v>13</v>
      </c>
      <c r="J8" s="3">
        <f>SUM(E8:E187)</f>
        <v>-170.4033163266638</v>
      </c>
    </row>
    <row r="9" spans="1:11" x14ac:dyDescent="0.3">
      <c r="A9">
        <v>2</v>
      </c>
      <c r="B9">
        <v>1.5164033280068761</v>
      </c>
      <c r="C9">
        <f t="shared" ref="C9:C72" si="0">A9-$A$6</f>
        <v>-88.5</v>
      </c>
      <c r="D9">
        <f t="shared" ref="D9:D72" si="1">B9-$B$6</f>
        <v>3.0291925982257606E-2</v>
      </c>
      <c r="E9">
        <f t="shared" ref="E9:E72" si="2">D9*C9</f>
        <v>-2.6808354494297983</v>
      </c>
      <c r="F9">
        <f t="shared" ref="F9:F72" si="3">C9*C9</f>
        <v>7832.25</v>
      </c>
      <c r="G9">
        <f t="shared" ref="G9:G72" si="4">D9*D9</f>
        <v>9.1760077971457348E-4</v>
      </c>
      <c r="I9" s="2" t="s">
        <v>14</v>
      </c>
      <c r="J9" s="4">
        <f>SUM(F8:F187)</f>
        <v>485985</v>
      </c>
    </row>
    <row r="10" spans="1:11" x14ac:dyDescent="0.3">
      <c r="A10">
        <v>3</v>
      </c>
      <c r="B10">
        <v>1.5164033280068761</v>
      </c>
      <c r="C10">
        <f t="shared" si="0"/>
        <v>-87.5</v>
      </c>
      <c r="D10">
        <f t="shared" si="1"/>
        <v>3.0291925982257606E-2</v>
      </c>
      <c r="E10">
        <f t="shared" si="2"/>
        <v>-2.6505435234475403</v>
      </c>
      <c r="F10">
        <f t="shared" si="3"/>
        <v>7656.25</v>
      </c>
      <c r="G10">
        <f t="shared" si="4"/>
        <v>9.1760077971457348E-4</v>
      </c>
      <c r="I10" s="2" t="s">
        <v>15</v>
      </c>
      <c r="J10" s="3">
        <f>J8/J9</f>
        <v>-3.5063492973376502E-4</v>
      </c>
      <c r="K10" t="s">
        <v>16</v>
      </c>
    </row>
    <row r="11" spans="1:11" x14ac:dyDescent="0.3">
      <c r="A11">
        <v>4</v>
      </c>
      <c r="B11">
        <v>1.5164033280068761</v>
      </c>
      <c r="C11">
        <f t="shared" si="0"/>
        <v>-86.5</v>
      </c>
      <c r="D11">
        <f t="shared" si="1"/>
        <v>3.0291925982257606E-2</v>
      </c>
      <c r="E11">
        <f t="shared" si="2"/>
        <v>-2.6202515974652831</v>
      </c>
      <c r="F11">
        <f t="shared" si="3"/>
        <v>7482.25</v>
      </c>
      <c r="G11">
        <f t="shared" si="4"/>
        <v>9.1760077971457348E-4</v>
      </c>
      <c r="I11" s="2" t="s">
        <v>17</v>
      </c>
      <c r="J11" s="3">
        <f>J10*60</f>
        <v>-2.1038095784025903E-2</v>
      </c>
      <c r="K11" t="s">
        <v>20</v>
      </c>
    </row>
    <row r="12" spans="1:11" x14ac:dyDescent="0.3">
      <c r="A12">
        <v>5</v>
      </c>
      <c r="B12">
        <v>1.5164033280068761</v>
      </c>
      <c r="C12">
        <f t="shared" si="0"/>
        <v>-85.5</v>
      </c>
      <c r="D12">
        <f t="shared" si="1"/>
        <v>3.0291925982257606E-2</v>
      </c>
      <c r="E12">
        <f t="shared" si="2"/>
        <v>-2.5899596714830251</v>
      </c>
      <c r="F12">
        <f t="shared" si="3"/>
        <v>7310.25</v>
      </c>
      <c r="G12">
        <f t="shared" si="4"/>
        <v>9.1760077971457348E-4</v>
      </c>
      <c r="I12" s="2" t="s">
        <v>18</v>
      </c>
      <c r="J12" s="3">
        <f>J11*16030</f>
        <v>-337.24067541793522</v>
      </c>
      <c r="K12" s="1" t="s">
        <v>19</v>
      </c>
    </row>
    <row r="13" spans="1:11" x14ac:dyDescent="0.3">
      <c r="A13">
        <v>6</v>
      </c>
      <c r="B13">
        <v>1.5155197173624841</v>
      </c>
      <c r="C13">
        <f t="shared" si="0"/>
        <v>-84.5</v>
      </c>
      <c r="D13">
        <f t="shared" si="1"/>
        <v>2.9408315337865698E-2</v>
      </c>
      <c r="E13">
        <f t="shared" si="2"/>
        <v>-2.4850026460496517</v>
      </c>
      <c r="F13">
        <f t="shared" si="3"/>
        <v>7140.25</v>
      </c>
      <c r="G13">
        <f t="shared" si="4"/>
        <v>8.6484901101134689E-4</v>
      </c>
    </row>
    <row r="14" spans="1:11" x14ac:dyDescent="0.3">
      <c r="A14">
        <v>7</v>
      </c>
      <c r="B14">
        <v>1.5155197173624841</v>
      </c>
      <c r="C14">
        <f t="shared" si="0"/>
        <v>-83.5</v>
      </c>
      <c r="D14">
        <f t="shared" si="1"/>
        <v>2.9408315337865698E-2</v>
      </c>
      <c r="E14">
        <f t="shared" si="2"/>
        <v>-2.4555943307117856</v>
      </c>
      <c r="F14">
        <f t="shared" si="3"/>
        <v>6972.25</v>
      </c>
      <c r="G14">
        <f t="shared" si="4"/>
        <v>8.6484901101134689E-4</v>
      </c>
    </row>
    <row r="15" spans="1:11" x14ac:dyDescent="0.3">
      <c r="A15">
        <v>8</v>
      </c>
      <c r="B15">
        <v>1.5146379008526145</v>
      </c>
      <c r="C15">
        <f t="shared" si="0"/>
        <v>-82.5</v>
      </c>
      <c r="D15">
        <f t="shared" si="1"/>
        <v>2.8526498827996072E-2</v>
      </c>
      <c r="E15">
        <f t="shared" si="2"/>
        <v>-2.3534361533096759</v>
      </c>
      <c r="F15">
        <f t="shared" si="3"/>
        <v>6806.25</v>
      </c>
      <c r="G15">
        <f t="shared" si="4"/>
        <v>8.1376113538366129E-4</v>
      </c>
    </row>
    <row r="16" spans="1:11" x14ac:dyDescent="0.3">
      <c r="A16">
        <v>9</v>
      </c>
      <c r="B16">
        <v>1.5146379008526145</v>
      </c>
      <c r="C16">
        <f t="shared" si="0"/>
        <v>-81.5</v>
      </c>
      <c r="D16">
        <f t="shared" si="1"/>
        <v>2.8526498827996072E-2</v>
      </c>
      <c r="E16">
        <f t="shared" si="2"/>
        <v>-2.3249096544816799</v>
      </c>
      <c r="F16">
        <f t="shared" si="3"/>
        <v>6642.25</v>
      </c>
      <c r="G16">
        <f t="shared" si="4"/>
        <v>8.1376113538366129E-4</v>
      </c>
    </row>
    <row r="17" spans="1:7" x14ac:dyDescent="0.3">
      <c r="A17">
        <v>10</v>
      </c>
      <c r="B17">
        <v>1.5137578712061976</v>
      </c>
      <c r="C17">
        <f t="shared" si="0"/>
        <v>-80.5</v>
      </c>
      <c r="D17">
        <f t="shared" si="1"/>
        <v>2.7646469181579203E-2</v>
      </c>
      <c r="E17">
        <f t="shared" si="2"/>
        <v>-2.2255407691171261</v>
      </c>
      <c r="F17">
        <f t="shared" si="3"/>
        <v>6480.25</v>
      </c>
      <c r="G17">
        <f t="shared" si="4"/>
        <v>7.6432725820800866E-4</v>
      </c>
    </row>
    <row r="18" spans="1:7" x14ac:dyDescent="0.3">
      <c r="A18">
        <v>11</v>
      </c>
      <c r="B18">
        <v>1.5137578712061976</v>
      </c>
      <c r="C18">
        <f t="shared" si="0"/>
        <v>-79.5</v>
      </c>
      <c r="D18">
        <f t="shared" si="1"/>
        <v>2.7646469181579203E-2</v>
      </c>
      <c r="E18">
        <f t="shared" si="2"/>
        <v>-2.1978942999355464</v>
      </c>
      <c r="F18">
        <f t="shared" si="3"/>
        <v>6320.25</v>
      </c>
      <c r="G18">
        <f t="shared" si="4"/>
        <v>7.6432725820800866E-4</v>
      </c>
    </row>
    <row r="19" spans="1:7" x14ac:dyDescent="0.3">
      <c r="A19">
        <v>12</v>
      </c>
      <c r="B19">
        <v>1.5137578712061976</v>
      </c>
      <c r="C19">
        <f t="shared" si="0"/>
        <v>-78.5</v>
      </c>
      <c r="D19">
        <f t="shared" si="1"/>
        <v>2.7646469181579203E-2</v>
      </c>
      <c r="E19">
        <f t="shared" si="2"/>
        <v>-2.1702478307539677</v>
      </c>
      <c r="F19">
        <f t="shared" si="3"/>
        <v>6162.25</v>
      </c>
      <c r="G19">
        <f t="shared" si="4"/>
        <v>7.6432725820800866E-4</v>
      </c>
    </row>
    <row r="20" spans="1:7" x14ac:dyDescent="0.3">
      <c r="A20">
        <v>13</v>
      </c>
      <c r="B20">
        <v>1.5128796211962758</v>
      </c>
      <c r="C20">
        <f t="shared" si="0"/>
        <v>-77.5</v>
      </c>
      <c r="D20">
        <f t="shared" si="1"/>
        <v>2.6768219171657393E-2</v>
      </c>
      <c r="E20">
        <f t="shared" si="2"/>
        <v>-2.0745369858034479</v>
      </c>
      <c r="F20">
        <f t="shared" si="3"/>
        <v>6006.25</v>
      </c>
      <c r="G20">
        <f t="shared" si="4"/>
        <v>7.1653755762188633E-4</v>
      </c>
    </row>
    <row r="21" spans="1:7" x14ac:dyDescent="0.3">
      <c r="A21">
        <v>14</v>
      </c>
      <c r="B21">
        <v>1.5128796211962758</v>
      </c>
      <c r="C21">
        <f t="shared" si="0"/>
        <v>-76.5</v>
      </c>
      <c r="D21">
        <f t="shared" si="1"/>
        <v>2.6768219171657393E-2</v>
      </c>
      <c r="E21">
        <f t="shared" si="2"/>
        <v>-2.0477687666317905</v>
      </c>
      <c r="F21">
        <f t="shared" si="3"/>
        <v>5852.25</v>
      </c>
      <c r="G21">
        <f t="shared" si="4"/>
        <v>7.1653755762188633E-4</v>
      </c>
    </row>
    <row r="22" spans="1:7" x14ac:dyDescent="0.3">
      <c r="A22">
        <v>15</v>
      </c>
      <c r="B22">
        <v>1.5128796211962758</v>
      </c>
      <c r="C22">
        <f t="shared" si="0"/>
        <v>-75.5</v>
      </c>
      <c r="D22">
        <f t="shared" si="1"/>
        <v>2.6768219171657393E-2</v>
      </c>
      <c r="E22">
        <f t="shared" si="2"/>
        <v>-2.0210005474601331</v>
      </c>
      <c r="F22">
        <f t="shared" si="3"/>
        <v>5700.25</v>
      </c>
      <c r="G22">
        <f t="shared" si="4"/>
        <v>7.1653755762188633E-4</v>
      </c>
    </row>
    <row r="23" spans="1:7" x14ac:dyDescent="0.3">
      <c r="A23">
        <v>16</v>
      </c>
      <c r="B23">
        <v>1.5120031436396471</v>
      </c>
      <c r="C23">
        <f t="shared" si="0"/>
        <v>-74.5</v>
      </c>
      <c r="D23">
        <f t="shared" si="1"/>
        <v>2.5891741615028607E-2</v>
      </c>
      <c r="E23">
        <f t="shared" si="2"/>
        <v>-1.9289347503196312</v>
      </c>
      <c r="F23">
        <f t="shared" si="3"/>
        <v>5550.25</v>
      </c>
      <c r="G23">
        <f t="shared" si="4"/>
        <v>6.7038228385940416E-4</v>
      </c>
    </row>
    <row r="24" spans="1:7" x14ac:dyDescent="0.3">
      <c r="A24">
        <v>17</v>
      </c>
      <c r="B24">
        <v>1.5120031436396471</v>
      </c>
      <c r="C24">
        <f t="shared" si="0"/>
        <v>-73.5</v>
      </c>
      <c r="D24">
        <f t="shared" si="1"/>
        <v>2.5891741615028607E-2</v>
      </c>
      <c r="E24">
        <f t="shared" si="2"/>
        <v>-1.9030430087046026</v>
      </c>
      <c r="F24">
        <f t="shared" si="3"/>
        <v>5402.25</v>
      </c>
      <c r="G24">
        <f t="shared" si="4"/>
        <v>6.7038228385940416E-4</v>
      </c>
    </row>
    <row r="25" spans="1:7" x14ac:dyDescent="0.3">
      <c r="A25">
        <v>18</v>
      </c>
      <c r="B25">
        <v>1.5120031436396471</v>
      </c>
      <c r="C25">
        <f t="shared" si="0"/>
        <v>-72.5</v>
      </c>
      <c r="D25">
        <f t="shared" si="1"/>
        <v>2.5891741615028607E-2</v>
      </c>
      <c r="E25">
        <f t="shared" si="2"/>
        <v>-1.877151267089574</v>
      </c>
      <c r="F25">
        <f t="shared" si="3"/>
        <v>5256.25</v>
      </c>
      <c r="G25">
        <f t="shared" si="4"/>
        <v>6.7038228385940416E-4</v>
      </c>
    </row>
    <row r="26" spans="1:7" x14ac:dyDescent="0.3">
      <c r="A26">
        <v>19</v>
      </c>
      <c r="B26">
        <v>1.5111284313965123</v>
      </c>
      <c r="C26">
        <f t="shared" si="0"/>
        <v>-71.5</v>
      </c>
      <c r="D26">
        <f t="shared" si="1"/>
        <v>2.5017029371893873E-2</v>
      </c>
      <c r="E26">
        <f t="shared" si="2"/>
        <v>-1.7887176000904119</v>
      </c>
      <c r="F26">
        <f t="shared" si="3"/>
        <v>5112.25</v>
      </c>
      <c r="G26">
        <f t="shared" si="4"/>
        <v>6.2585175859420077E-4</v>
      </c>
    </row>
    <row r="27" spans="1:7" x14ac:dyDescent="0.3">
      <c r="A27">
        <v>20</v>
      </c>
      <c r="B27">
        <v>1.5111284313965123</v>
      </c>
      <c r="C27">
        <f t="shared" si="0"/>
        <v>-70.5</v>
      </c>
      <c r="D27">
        <f t="shared" si="1"/>
        <v>2.5017029371893873E-2</v>
      </c>
      <c r="E27">
        <f t="shared" si="2"/>
        <v>-1.763700570718518</v>
      </c>
      <c r="F27">
        <f t="shared" si="3"/>
        <v>4970.25</v>
      </c>
      <c r="G27">
        <f t="shared" si="4"/>
        <v>6.2585175859420077E-4</v>
      </c>
    </row>
    <row r="28" spans="1:7" x14ac:dyDescent="0.3">
      <c r="A28">
        <v>21</v>
      </c>
      <c r="B28">
        <v>1.5111284313965123</v>
      </c>
      <c r="C28">
        <f t="shared" si="0"/>
        <v>-69.5</v>
      </c>
      <c r="D28">
        <f t="shared" si="1"/>
        <v>2.5017029371893873E-2</v>
      </c>
      <c r="E28">
        <f t="shared" si="2"/>
        <v>-1.7386835413466242</v>
      </c>
      <c r="F28">
        <f t="shared" si="3"/>
        <v>4830.25</v>
      </c>
      <c r="G28">
        <f t="shared" si="4"/>
        <v>6.2585175859420077E-4</v>
      </c>
    </row>
    <row r="29" spans="1:7" x14ac:dyDescent="0.3">
      <c r="A29">
        <v>22</v>
      </c>
      <c r="B29">
        <v>1.5102554773701269</v>
      </c>
      <c r="C29">
        <f t="shared" si="0"/>
        <v>-68.5</v>
      </c>
      <c r="D29">
        <f t="shared" si="1"/>
        <v>2.4144075345508442E-2</v>
      </c>
      <c r="E29">
        <f t="shared" si="2"/>
        <v>-1.6538691611673282</v>
      </c>
      <c r="F29">
        <f t="shared" si="3"/>
        <v>4692.25</v>
      </c>
      <c r="G29">
        <f t="shared" si="4"/>
        <v>5.8293637428958862E-4</v>
      </c>
    </row>
    <row r="30" spans="1:7" x14ac:dyDescent="0.3">
      <c r="A30">
        <v>23</v>
      </c>
      <c r="B30">
        <v>1.5102554773701269</v>
      </c>
      <c r="C30">
        <f t="shared" si="0"/>
        <v>-67.5</v>
      </c>
      <c r="D30">
        <f t="shared" si="1"/>
        <v>2.4144075345508442E-2</v>
      </c>
      <c r="E30">
        <f t="shared" si="2"/>
        <v>-1.62972508582182</v>
      </c>
      <c r="F30">
        <f t="shared" si="3"/>
        <v>4556.25</v>
      </c>
      <c r="G30">
        <f t="shared" si="4"/>
        <v>5.8293637428958862E-4</v>
      </c>
    </row>
    <row r="31" spans="1:7" x14ac:dyDescent="0.3">
      <c r="A31">
        <v>24</v>
      </c>
      <c r="B31">
        <v>1.5093842745064547</v>
      </c>
      <c r="C31">
        <f t="shared" si="0"/>
        <v>-66.5</v>
      </c>
      <c r="D31">
        <f t="shared" si="1"/>
        <v>2.3272872481836293E-2</v>
      </c>
      <c r="E31">
        <f t="shared" si="2"/>
        <v>-1.5476460200421136</v>
      </c>
      <c r="F31">
        <f t="shared" si="3"/>
        <v>4422.25</v>
      </c>
      <c r="G31">
        <f t="shared" si="4"/>
        <v>5.4162659355581303E-4</v>
      </c>
    </row>
    <row r="32" spans="1:7" x14ac:dyDescent="0.3">
      <c r="A32">
        <v>25</v>
      </c>
      <c r="B32">
        <v>1.5093842745064547</v>
      </c>
      <c r="C32">
        <f t="shared" si="0"/>
        <v>-65.5</v>
      </c>
      <c r="D32">
        <f t="shared" si="1"/>
        <v>2.3272872481836293E-2</v>
      </c>
      <c r="E32">
        <f t="shared" si="2"/>
        <v>-1.5243731475602771</v>
      </c>
      <c r="F32">
        <f t="shared" si="3"/>
        <v>4290.25</v>
      </c>
      <c r="G32">
        <f t="shared" si="4"/>
        <v>5.4162659355581303E-4</v>
      </c>
    </row>
    <row r="33" spans="1:7" x14ac:dyDescent="0.3">
      <c r="A33">
        <v>26</v>
      </c>
      <c r="B33">
        <v>1.5085148157938257</v>
      </c>
      <c r="C33">
        <f t="shared" si="0"/>
        <v>-64.5</v>
      </c>
      <c r="D33">
        <f t="shared" si="1"/>
        <v>2.2403413769207292E-2</v>
      </c>
      <c r="E33">
        <f t="shared" si="2"/>
        <v>-1.4450201881138702</v>
      </c>
      <c r="F33">
        <f t="shared" si="3"/>
        <v>4160.25</v>
      </c>
      <c r="G33">
        <f t="shared" si="4"/>
        <v>5.0191294851430689E-4</v>
      </c>
    </row>
    <row r="34" spans="1:7" x14ac:dyDescent="0.3">
      <c r="A34">
        <v>27</v>
      </c>
      <c r="B34">
        <v>1.5085148157938257</v>
      </c>
      <c r="C34">
        <f t="shared" si="0"/>
        <v>-63.5</v>
      </c>
      <c r="D34">
        <f t="shared" si="1"/>
        <v>2.2403413769207292E-2</v>
      </c>
      <c r="E34">
        <f t="shared" si="2"/>
        <v>-1.4226167743446632</v>
      </c>
      <c r="F34">
        <f t="shared" si="3"/>
        <v>4032.25</v>
      </c>
      <c r="G34">
        <f t="shared" si="4"/>
        <v>5.0191294851430689E-4</v>
      </c>
    </row>
    <row r="35" spans="1:7" x14ac:dyDescent="0.3">
      <c r="A35">
        <v>28</v>
      </c>
      <c r="B35">
        <v>1.5085148157938257</v>
      </c>
      <c r="C35">
        <f t="shared" si="0"/>
        <v>-62.5</v>
      </c>
      <c r="D35">
        <f t="shared" si="1"/>
        <v>2.2403413769207292E-2</v>
      </c>
      <c r="E35">
        <f t="shared" si="2"/>
        <v>-1.4002133605754556</v>
      </c>
      <c r="F35">
        <f t="shared" si="3"/>
        <v>3906.25</v>
      </c>
      <c r="G35">
        <f t="shared" si="4"/>
        <v>5.0191294851430689E-4</v>
      </c>
    </row>
    <row r="36" spans="1:7" x14ac:dyDescent="0.3">
      <c r="A36">
        <v>29</v>
      </c>
      <c r="B36">
        <v>1.5076470942625988</v>
      </c>
      <c r="C36">
        <f t="shared" si="0"/>
        <v>-61.5</v>
      </c>
      <c r="D36">
        <f t="shared" si="1"/>
        <v>2.1535692237980353E-2</v>
      </c>
      <c r="E36">
        <f t="shared" si="2"/>
        <v>-1.3244450726357917</v>
      </c>
      <c r="F36">
        <f t="shared" si="3"/>
        <v>3782.25</v>
      </c>
      <c r="G36">
        <f t="shared" si="4"/>
        <v>4.6378604016900722E-4</v>
      </c>
    </row>
    <row r="37" spans="1:7" x14ac:dyDescent="0.3">
      <c r="A37">
        <v>30</v>
      </c>
      <c r="B37">
        <v>1.5076470942625988</v>
      </c>
      <c r="C37">
        <f t="shared" si="0"/>
        <v>-60.5</v>
      </c>
      <c r="D37">
        <f t="shared" si="1"/>
        <v>2.1535692237980353E-2</v>
      </c>
      <c r="E37">
        <f t="shared" si="2"/>
        <v>-1.3029093803978113</v>
      </c>
      <c r="F37">
        <f t="shared" si="3"/>
        <v>3660.25</v>
      </c>
      <c r="G37">
        <f t="shared" si="4"/>
        <v>4.6378604016900722E-4</v>
      </c>
    </row>
    <row r="38" spans="1:7" x14ac:dyDescent="0.3">
      <c r="A38">
        <v>31</v>
      </c>
      <c r="B38">
        <v>1.5067811029848253</v>
      </c>
      <c r="C38">
        <f t="shared" si="0"/>
        <v>-59.5</v>
      </c>
      <c r="D38">
        <f t="shared" si="1"/>
        <v>2.0669700960206816E-2</v>
      </c>
      <c r="E38">
        <f t="shared" si="2"/>
        <v>-1.2298472071323054</v>
      </c>
      <c r="F38">
        <f t="shared" si="3"/>
        <v>3540.25</v>
      </c>
      <c r="G38">
        <f t="shared" si="4"/>
        <v>4.272365377843746E-4</v>
      </c>
    </row>
    <row r="39" spans="1:7" x14ac:dyDescent="0.3">
      <c r="A39">
        <v>32</v>
      </c>
      <c r="B39">
        <v>1.5067811029848253</v>
      </c>
      <c r="C39">
        <f t="shared" si="0"/>
        <v>-58.5</v>
      </c>
      <c r="D39">
        <f t="shared" si="1"/>
        <v>2.0669700960206816E-2</v>
      </c>
      <c r="E39">
        <f t="shared" si="2"/>
        <v>-1.2091775061720988</v>
      </c>
      <c r="F39">
        <f t="shared" si="3"/>
        <v>3422.25</v>
      </c>
      <c r="G39">
        <f t="shared" si="4"/>
        <v>4.272365377843746E-4</v>
      </c>
    </row>
    <row r="40" spans="1:7" x14ac:dyDescent="0.3">
      <c r="A40">
        <v>33</v>
      </c>
      <c r="B40">
        <v>1.5059168350739172</v>
      </c>
      <c r="C40">
        <f t="shared" si="0"/>
        <v>-57.5</v>
      </c>
      <c r="D40">
        <f t="shared" si="1"/>
        <v>1.9805433049298715E-2</v>
      </c>
      <c r="E40">
        <f t="shared" si="2"/>
        <v>-1.1388124003346762</v>
      </c>
      <c r="F40">
        <f t="shared" si="3"/>
        <v>3306.25</v>
      </c>
      <c r="G40">
        <f t="shared" si="4"/>
        <v>3.922551782702538E-4</v>
      </c>
    </row>
    <row r="41" spans="1:7" x14ac:dyDescent="0.3">
      <c r="A41">
        <v>34</v>
      </c>
      <c r="B41">
        <v>1.5059168350739172</v>
      </c>
      <c r="C41">
        <f t="shared" si="0"/>
        <v>-56.5</v>
      </c>
      <c r="D41">
        <f t="shared" si="1"/>
        <v>1.9805433049298715E-2</v>
      </c>
      <c r="E41">
        <f t="shared" si="2"/>
        <v>-1.1190069672853773</v>
      </c>
      <c r="F41">
        <f t="shared" si="3"/>
        <v>3192.25</v>
      </c>
      <c r="G41">
        <f t="shared" si="4"/>
        <v>3.922551782702538E-4</v>
      </c>
    </row>
    <row r="42" spans="1:7" x14ac:dyDescent="0.3">
      <c r="A42">
        <v>35</v>
      </c>
      <c r="B42">
        <v>1.5059168350739172</v>
      </c>
      <c r="C42">
        <f t="shared" si="0"/>
        <v>-55.5</v>
      </c>
      <c r="D42">
        <f t="shared" si="1"/>
        <v>1.9805433049298715E-2</v>
      </c>
      <c r="E42">
        <f t="shared" si="2"/>
        <v>-1.0992015342360788</v>
      </c>
      <c r="F42">
        <f t="shared" si="3"/>
        <v>3080.25</v>
      </c>
      <c r="G42">
        <f t="shared" si="4"/>
        <v>3.922551782702538E-4</v>
      </c>
    </row>
    <row r="43" spans="1:7" x14ac:dyDescent="0.3">
      <c r="A43">
        <v>36</v>
      </c>
      <c r="B43">
        <v>1.5059168350739172</v>
      </c>
      <c r="C43">
        <f t="shared" si="0"/>
        <v>-54.5</v>
      </c>
      <c r="D43">
        <f t="shared" si="1"/>
        <v>1.9805433049298715E-2</v>
      </c>
      <c r="E43">
        <f t="shared" si="2"/>
        <v>-1.0793961011867799</v>
      </c>
      <c r="F43">
        <f t="shared" si="3"/>
        <v>2970.25</v>
      </c>
      <c r="G43">
        <f t="shared" si="4"/>
        <v>3.922551782702538E-4</v>
      </c>
    </row>
    <row r="44" spans="1:7" x14ac:dyDescent="0.3">
      <c r="A44">
        <v>37</v>
      </c>
      <c r="B44">
        <v>1.5050542836843193</v>
      </c>
      <c r="C44">
        <f t="shared" si="0"/>
        <v>-53.5</v>
      </c>
      <c r="D44">
        <f t="shared" si="1"/>
        <v>1.8942881659700816E-2</v>
      </c>
      <c r="E44">
        <f t="shared" si="2"/>
        <v>-1.0134441687939937</v>
      </c>
      <c r="F44">
        <f t="shared" si="3"/>
        <v>2862.25</v>
      </c>
      <c r="G44">
        <f t="shared" si="4"/>
        <v>3.5883276557342958E-4</v>
      </c>
    </row>
    <row r="45" spans="1:7" x14ac:dyDescent="0.3">
      <c r="A45">
        <v>38</v>
      </c>
      <c r="B45">
        <v>1.5050542836843193</v>
      </c>
      <c r="C45">
        <f t="shared" si="0"/>
        <v>-52.5</v>
      </c>
      <c r="D45">
        <f t="shared" si="1"/>
        <v>1.8942881659700816E-2</v>
      </c>
      <c r="E45">
        <f t="shared" si="2"/>
        <v>-0.99450128713429287</v>
      </c>
      <c r="F45">
        <f t="shared" si="3"/>
        <v>2756.25</v>
      </c>
      <c r="G45">
        <f t="shared" si="4"/>
        <v>3.5883276557342958E-4</v>
      </c>
    </row>
    <row r="46" spans="1:7" x14ac:dyDescent="0.3">
      <c r="A46">
        <v>39</v>
      </c>
      <c r="B46">
        <v>1.5050542836843193</v>
      </c>
      <c r="C46">
        <f t="shared" si="0"/>
        <v>-51.5</v>
      </c>
      <c r="D46">
        <f t="shared" si="1"/>
        <v>1.8942881659700816E-2</v>
      </c>
      <c r="E46">
        <f t="shared" si="2"/>
        <v>-0.97555840547459205</v>
      </c>
      <c r="F46">
        <f t="shared" si="3"/>
        <v>2652.25</v>
      </c>
      <c r="G46">
        <f t="shared" si="4"/>
        <v>3.5883276557342958E-4</v>
      </c>
    </row>
    <row r="47" spans="1:7" x14ac:dyDescent="0.3">
      <c r="A47">
        <v>40</v>
      </c>
      <c r="B47">
        <v>1.5050542836843193</v>
      </c>
      <c r="C47">
        <f t="shared" si="0"/>
        <v>-50.5</v>
      </c>
      <c r="D47">
        <f t="shared" si="1"/>
        <v>1.8942881659700816E-2</v>
      </c>
      <c r="E47">
        <f t="shared" si="2"/>
        <v>-0.95661552381489123</v>
      </c>
      <c r="F47">
        <f t="shared" si="3"/>
        <v>2550.25</v>
      </c>
      <c r="G47">
        <f t="shared" si="4"/>
        <v>3.5883276557342958E-4</v>
      </c>
    </row>
    <row r="48" spans="1:7" x14ac:dyDescent="0.3">
      <c r="A48">
        <v>41</v>
      </c>
      <c r="B48">
        <v>1.5041934420111831</v>
      </c>
      <c r="C48">
        <f t="shared" si="0"/>
        <v>-49.5</v>
      </c>
      <c r="D48">
        <f t="shared" si="1"/>
        <v>1.8082039986564657E-2</v>
      </c>
      <c r="E48">
        <f t="shared" si="2"/>
        <v>-0.89506097933495055</v>
      </c>
      <c r="F48">
        <f t="shared" si="3"/>
        <v>2450.25</v>
      </c>
      <c r="G48">
        <f t="shared" si="4"/>
        <v>3.269601700757232E-4</v>
      </c>
    </row>
    <row r="49" spans="1:7" x14ac:dyDescent="0.3">
      <c r="A49">
        <v>42</v>
      </c>
      <c r="B49">
        <v>1.5041934420111831</v>
      </c>
      <c r="C49">
        <f t="shared" si="0"/>
        <v>-48.5</v>
      </c>
      <c r="D49">
        <f t="shared" si="1"/>
        <v>1.8082039986564657E-2</v>
      </c>
      <c r="E49">
        <f t="shared" si="2"/>
        <v>-0.87697893934838589</v>
      </c>
      <c r="F49">
        <f t="shared" si="3"/>
        <v>2352.25</v>
      </c>
      <c r="G49">
        <f t="shared" si="4"/>
        <v>3.269601700757232E-4</v>
      </c>
    </row>
    <row r="50" spans="1:7" x14ac:dyDescent="0.3">
      <c r="A50">
        <v>43</v>
      </c>
      <c r="B50">
        <v>1.5033343032900455</v>
      </c>
      <c r="C50">
        <f t="shared" si="0"/>
        <v>-47.5</v>
      </c>
      <c r="D50">
        <f t="shared" si="1"/>
        <v>1.7222901265427026E-2</v>
      </c>
      <c r="E50">
        <f t="shared" si="2"/>
        <v>-0.81808781010778375</v>
      </c>
      <c r="F50">
        <f t="shared" si="3"/>
        <v>2256.25</v>
      </c>
      <c r="G50">
        <f t="shared" si="4"/>
        <v>2.9662832799864789E-4</v>
      </c>
    </row>
    <row r="51" spans="1:7" x14ac:dyDescent="0.3">
      <c r="A51">
        <v>44</v>
      </c>
      <c r="B51">
        <v>1.5033343032900455</v>
      </c>
      <c r="C51">
        <f t="shared" si="0"/>
        <v>-46.5</v>
      </c>
      <c r="D51">
        <f t="shared" si="1"/>
        <v>1.7222901265427026E-2</v>
      </c>
      <c r="E51">
        <f t="shared" si="2"/>
        <v>-0.80086490884235673</v>
      </c>
      <c r="F51">
        <f t="shared" si="3"/>
        <v>2162.25</v>
      </c>
      <c r="G51">
        <f t="shared" si="4"/>
        <v>2.9662832799864789E-4</v>
      </c>
    </row>
    <row r="52" spans="1:7" x14ac:dyDescent="0.3">
      <c r="A52">
        <v>45</v>
      </c>
      <c r="B52">
        <v>1.5033343032900455</v>
      </c>
      <c r="C52">
        <f t="shared" si="0"/>
        <v>-45.5</v>
      </c>
      <c r="D52">
        <f t="shared" si="1"/>
        <v>1.7222901265427026E-2</v>
      </c>
      <c r="E52">
        <f t="shared" si="2"/>
        <v>-0.7836420075769297</v>
      </c>
      <c r="F52">
        <f t="shared" si="3"/>
        <v>2070.25</v>
      </c>
      <c r="G52">
        <f t="shared" si="4"/>
        <v>2.9662832799864789E-4</v>
      </c>
    </row>
    <row r="53" spans="1:7" x14ac:dyDescent="0.3">
      <c r="A53">
        <v>46</v>
      </c>
      <c r="B53">
        <v>1.5024768607965087</v>
      </c>
      <c r="C53">
        <f t="shared" si="0"/>
        <v>-44.5</v>
      </c>
      <c r="D53">
        <f t="shared" si="1"/>
        <v>1.6365458771890218E-2</v>
      </c>
      <c r="E53">
        <f t="shared" si="2"/>
        <v>-0.72826291534911469</v>
      </c>
      <c r="F53">
        <f t="shared" si="3"/>
        <v>1980.25</v>
      </c>
      <c r="G53">
        <f t="shared" si="4"/>
        <v>2.678282408144385E-4</v>
      </c>
    </row>
    <row r="54" spans="1:7" x14ac:dyDescent="0.3">
      <c r="A54">
        <v>47</v>
      </c>
      <c r="B54">
        <v>1.5024768607965087</v>
      </c>
      <c r="C54">
        <f t="shared" si="0"/>
        <v>-43.5</v>
      </c>
      <c r="D54">
        <f t="shared" si="1"/>
        <v>1.6365458771890218E-2</v>
      </c>
      <c r="E54">
        <f t="shared" si="2"/>
        <v>-0.71189745657722447</v>
      </c>
      <c r="F54">
        <f t="shared" si="3"/>
        <v>1892.25</v>
      </c>
      <c r="G54">
        <f t="shared" si="4"/>
        <v>2.678282408144385E-4</v>
      </c>
    </row>
    <row r="55" spans="1:7" x14ac:dyDescent="0.3">
      <c r="A55">
        <v>48</v>
      </c>
      <c r="B55">
        <v>1.5016211078459254</v>
      </c>
      <c r="C55">
        <f t="shared" si="0"/>
        <v>-42.5</v>
      </c>
      <c r="D55">
        <f t="shared" si="1"/>
        <v>1.5509705821306952E-2</v>
      </c>
      <c r="E55">
        <f t="shared" si="2"/>
        <v>-0.65916249740554544</v>
      </c>
      <c r="F55">
        <f t="shared" si="3"/>
        <v>1806.25</v>
      </c>
      <c r="G55">
        <f t="shared" si="4"/>
        <v>2.4055097466348275E-4</v>
      </c>
    </row>
    <row r="56" spans="1:7" x14ac:dyDescent="0.3">
      <c r="A56">
        <v>49</v>
      </c>
      <c r="B56">
        <v>1.5016211078459254</v>
      </c>
      <c r="C56">
        <f t="shared" si="0"/>
        <v>-41.5</v>
      </c>
      <c r="D56">
        <f t="shared" si="1"/>
        <v>1.5509705821306952E-2</v>
      </c>
      <c r="E56">
        <f t="shared" si="2"/>
        <v>-0.64365279158423849</v>
      </c>
      <c r="F56">
        <f t="shared" si="3"/>
        <v>1722.25</v>
      </c>
      <c r="G56">
        <f t="shared" si="4"/>
        <v>2.4055097466348275E-4</v>
      </c>
    </row>
    <row r="57" spans="1:7" x14ac:dyDescent="0.3">
      <c r="A57">
        <v>50</v>
      </c>
      <c r="B57">
        <v>1.5007670377930857</v>
      </c>
      <c r="C57">
        <f t="shared" si="0"/>
        <v>-40.5</v>
      </c>
      <c r="D57">
        <f t="shared" si="1"/>
        <v>1.465563576846729E-2</v>
      </c>
      <c r="E57">
        <f t="shared" si="2"/>
        <v>-0.59355324862292524</v>
      </c>
      <c r="F57">
        <f t="shared" si="3"/>
        <v>1640.25</v>
      </c>
      <c r="G57">
        <f t="shared" si="4"/>
        <v>2.147876597779778E-4</v>
      </c>
    </row>
    <row r="58" spans="1:7" x14ac:dyDescent="0.3">
      <c r="A58">
        <v>51</v>
      </c>
      <c r="B58">
        <v>1.5007670377930857</v>
      </c>
      <c r="C58">
        <f t="shared" si="0"/>
        <v>-39.5</v>
      </c>
      <c r="D58">
        <f t="shared" si="1"/>
        <v>1.465563576846729E-2</v>
      </c>
      <c r="E58">
        <f t="shared" si="2"/>
        <v>-0.57889761285445795</v>
      </c>
      <c r="F58">
        <f t="shared" si="3"/>
        <v>1560.25</v>
      </c>
      <c r="G58">
        <f t="shared" si="4"/>
        <v>2.147876597779778E-4</v>
      </c>
    </row>
    <row r="59" spans="1:7" x14ac:dyDescent="0.3">
      <c r="A59">
        <v>52</v>
      </c>
      <c r="B59">
        <v>1.4999146440319082</v>
      </c>
      <c r="C59">
        <f t="shared" si="0"/>
        <v>-38.5</v>
      </c>
      <c r="D59">
        <f t="shared" si="1"/>
        <v>1.3803242007289773E-2</v>
      </c>
      <c r="E59">
        <f t="shared" si="2"/>
        <v>-0.53142481728065627</v>
      </c>
      <c r="F59">
        <f t="shared" si="3"/>
        <v>1482.25</v>
      </c>
      <c r="G59">
        <f t="shared" si="4"/>
        <v>1.90529489911809E-4</v>
      </c>
    </row>
    <row r="60" spans="1:7" x14ac:dyDescent="0.3">
      <c r="A60">
        <v>53</v>
      </c>
      <c r="B60">
        <v>1.4999146440319082</v>
      </c>
      <c r="C60">
        <f t="shared" si="0"/>
        <v>-37.5</v>
      </c>
      <c r="D60">
        <f t="shared" si="1"/>
        <v>1.3803242007289773E-2</v>
      </c>
      <c r="E60">
        <f t="shared" si="2"/>
        <v>-0.5176215752733665</v>
      </c>
      <c r="F60">
        <f t="shared" si="3"/>
        <v>1406.25</v>
      </c>
      <c r="G60">
        <f t="shared" si="4"/>
        <v>1.90529489911809E-4</v>
      </c>
    </row>
    <row r="61" spans="1:7" x14ac:dyDescent="0.3">
      <c r="A61">
        <v>54</v>
      </c>
      <c r="B61">
        <v>1.4990639199951319</v>
      </c>
      <c r="C61">
        <f t="shared" si="0"/>
        <v>-36.5</v>
      </c>
      <c r="D61">
        <f t="shared" si="1"/>
        <v>1.2952517970513444E-2</v>
      </c>
      <c r="E61">
        <f t="shared" si="2"/>
        <v>-0.47276690592374071</v>
      </c>
      <c r="F61">
        <f t="shared" si="3"/>
        <v>1332.25</v>
      </c>
      <c r="G61">
        <f t="shared" si="4"/>
        <v>1.6776772177647372E-4</v>
      </c>
    </row>
    <row r="62" spans="1:7" x14ac:dyDescent="0.3">
      <c r="A62">
        <v>55</v>
      </c>
      <c r="B62">
        <v>1.4990639199951319</v>
      </c>
      <c r="C62">
        <f t="shared" si="0"/>
        <v>-35.5</v>
      </c>
      <c r="D62">
        <f t="shared" si="1"/>
        <v>1.2952517970513444E-2</v>
      </c>
      <c r="E62">
        <f t="shared" si="2"/>
        <v>-0.45981438795322727</v>
      </c>
      <c r="F62">
        <f t="shared" si="3"/>
        <v>1260.25</v>
      </c>
      <c r="G62">
        <f t="shared" si="4"/>
        <v>1.6776772177647372E-4</v>
      </c>
    </row>
    <row r="63" spans="1:7" x14ac:dyDescent="0.3">
      <c r="A63">
        <v>56</v>
      </c>
      <c r="B63">
        <v>1.4982148591540139</v>
      </c>
      <c r="C63">
        <f t="shared" si="0"/>
        <v>-34.5</v>
      </c>
      <c r="D63">
        <f t="shared" si="1"/>
        <v>1.2103457129395423E-2</v>
      </c>
      <c r="E63">
        <f t="shared" si="2"/>
        <v>-0.41756927096414209</v>
      </c>
      <c r="F63">
        <f t="shared" si="3"/>
        <v>1190.25</v>
      </c>
      <c r="G63">
        <f t="shared" si="4"/>
        <v>1.464936744831129E-4</v>
      </c>
    </row>
    <row r="64" spans="1:7" x14ac:dyDescent="0.3">
      <c r="A64">
        <v>57</v>
      </c>
      <c r="B64">
        <v>1.4982148591540139</v>
      </c>
      <c r="C64">
        <f t="shared" si="0"/>
        <v>-33.5</v>
      </c>
      <c r="D64">
        <f t="shared" si="1"/>
        <v>1.2103457129395423E-2</v>
      </c>
      <c r="E64">
        <f t="shared" si="2"/>
        <v>-0.40546581383474667</v>
      </c>
      <c r="F64">
        <f t="shared" si="3"/>
        <v>1122.25</v>
      </c>
      <c r="G64">
        <f t="shared" si="4"/>
        <v>1.464936744831129E-4</v>
      </c>
    </row>
    <row r="65" spans="1:7" x14ac:dyDescent="0.3">
      <c r="A65">
        <v>58</v>
      </c>
      <c r="B65">
        <v>1.4982148591540139</v>
      </c>
      <c r="C65">
        <f t="shared" si="0"/>
        <v>-32.5</v>
      </c>
      <c r="D65">
        <f t="shared" si="1"/>
        <v>1.2103457129395423E-2</v>
      </c>
      <c r="E65">
        <f t="shared" si="2"/>
        <v>-0.39336235670535125</v>
      </c>
      <c r="F65">
        <f t="shared" si="3"/>
        <v>1056.25</v>
      </c>
      <c r="G65">
        <f t="shared" si="4"/>
        <v>1.464936744831129E-4</v>
      </c>
    </row>
    <row r="66" spans="1:7" x14ac:dyDescent="0.3">
      <c r="A66">
        <v>59</v>
      </c>
      <c r="B66">
        <v>1.4973674550180283</v>
      </c>
      <c r="C66">
        <f t="shared" si="0"/>
        <v>-31.5</v>
      </c>
      <c r="D66">
        <f t="shared" si="1"/>
        <v>1.1256052993409815E-2</v>
      </c>
      <c r="E66">
        <f t="shared" si="2"/>
        <v>-0.35456566929240918</v>
      </c>
      <c r="F66">
        <f t="shared" si="3"/>
        <v>992.25</v>
      </c>
      <c r="G66">
        <f t="shared" si="4"/>
        <v>1.2669872899045005E-4</v>
      </c>
    </row>
    <row r="67" spans="1:7" x14ac:dyDescent="0.3">
      <c r="A67">
        <v>60</v>
      </c>
      <c r="B67">
        <v>1.4973674550180283</v>
      </c>
      <c r="C67">
        <f t="shared" si="0"/>
        <v>-30.5</v>
      </c>
      <c r="D67">
        <f t="shared" si="1"/>
        <v>1.1256052993409815E-2</v>
      </c>
      <c r="E67">
        <f t="shared" si="2"/>
        <v>-0.34330961629899936</v>
      </c>
      <c r="F67">
        <f t="shared" si="3"/>
        <v>930.25</v>
      </c>
      <c r="G67">
        <f t="shared" si="4"/>
        <v>1.2669872899045005E-4</v>
      </c>
    </row>
    <row r="68" spans="1:7" x14ac:dyDescent="0.3">
      <c r="A68">
        <v>61</v>
      </c>
      <c r="B68">
        <v>1.4965217011345688</v>
      </c>
      <c r="C68">
        <f t="shared" si="0"/>
        <v>-29.5</v>
      </c>
      <c r="D68">
        <f t="shared" si="1"/>
        <v>1.0410299109950394E-2</v>
      </c>
      <c r="E68">
        <f t="shared" si="2"/>
        <v>-0.30710382374353662</v>
      </c>
      <c r="F68">
        <f t="shared" si="3"/>
        <v>870.25</v>
      </c>
      <c r="G68">
        <f t="shared" si="4"/>
        <v>1.0837432755863396E-4</v>
      </c>
    </row>
    <row r="69" spans="1:7" x14ac:dyDescent="0.3">
      <c r="A69">
        <v>62</v>
      </c>
      <c r="B69">
        <v>1.4956775910886535</v>
      </c>
      <c r="C69">
        <f t="shared" si="0"/>
        <v>-28.5</v>
      </c>
      <c r="D69">
        <f t="shared" si="1"/>
        <v>9.5661890640350578E-3</v>
      </c>
      <c r="E69">
        <f t="shared" si="2"/>
        <v>-0.27263638832499915</v>
      </c>
      <c r="F69">
        <f t="shared" si="3"/>
        <v>812.25</v>
      </c>
      <c r="G69">
        <f t="shared" si="4"/>
        <v>9.1511973208863932E-5</v>
      </c>
    </row>
    <row r="70" spans="1:7" x14ac:dyDescent="0.3">
      <c r="A70">
        <v>63</v>
      </c>
      <c r="B70">
        <v>1.4956775910886535</v>
      </c>
      <c r="C70">
        <f t="shared" si="0"/>
        <v>-27.5</v>
      </c>
      <c r="D70">
        <f t="shared" si="1"/>
        <v>9.5661890640350578E-3</v>
      </c>
      <c r="E70">
        <f t="shared" si="2"/>
        <v>-0.26307019926096409</v>
      </c>
      <c r="F70">
        <f t="shared" si="3"/>
        <v>756.25</v>
      </c>
      <c r="G70">
        <f t="shared" si="4"/>
        <v>9.1511973208863932E-5</v>
      </c>
    </row>
    <row r="71" spans="1:7" x14ac:dyDescent="0.3">
      <c r="A71">
        <v>64</v>
      </c>
      <c r="B71">
        <v>1.4948351185026332</v>
      </c>
      <c r="C71">
        <f t="shared" si="0"/>
        <v>-26.5</v>
      </c>
      <c r="D71">
        <f t="shared" si="1"/>
        <v>8.7237164780147314E-3</v>
      </c>
      <c r="E71">
        <f t="shared" si="2"/>
        <v>-0.23117848666739038</v>
      </c>
      <c r="F71">
        <f t="shared" si="3"/>
        <v>702.25</v>
      </c>
      <c r="G71">
        <f t="shared" si="4"/>
        <v>7.6103229188785747E-5</v>
      </c>
    </row>
    <row r="72" spans="1:7" x14ac:dyDescent="0.3">
      <c r="A72">
        <v>65</v>
      </c>
      <c r="B72">
        <v>1.4948351185026332</v>
      </c>
      <c r="C72">
        <f t="shared" si="0"/>
        <v>-25.5</v>
      </c>
      <c r="D72">
        <f t="shared" si="1"/>
        <v>8.7237164780147314E-3</v>
      </c>
      <c r="E72">
        <f t="shared" si="2"/>
        <v>-0.22245477018937565</v>
      </c>
      <c r="F72">
        <f t="shared" si="3"/>
        <v>650.25</v>
      </c>
      <c r="G72">
        <f t="shared" si="4"/>
        <v>7.6103229188785747E-5</v>
      </c>
    </row>
    <row r="73" spans="1:7" x14ac:dyDescent="0.3">
      <c r="A73">
        <v>66</v>
      </c>
      <c r="B73">
        <v>1.493994277035902</v>
      </c>
      <c r="C73">
        <f t="shared" ref="C73:C136" si="5">A73-$A$6</f>
        <v>-24.5</v>
      </c>
      <c r="D73">
        <f t="shared" ref="D73:D136" si="6">B73-$B$6</f>
        <v>7.8828750112835966E-3</v>
      </c>
      <c r="E73">
        <f t="shared" ref="E73:E136" si="7">D73*C73</f>
        <v>-0.19313043777644812</v>
      </c>
      <c r="F73">
        <f t="shared" ref="F73:F136" si="8">C73*C73</f>
        <v>600.25</v>
      </c>
      <c r="G73">
        <f t="shared" ref="G73:G136" si="9">D73*D73</f>
        <v>6.2139718443519367E-5</v>
      </c>
    </row>
    <row r="74" spans="1:7" x14ac:dyDescent="0.3">
      <c r="A74">
        <v>67</v>
      </c>
      <c r="B74">
        <v>1.493994277035902</v>
      </c>
      <c r="C74">
        <f t="shared" si="5"/>
        <v>-23.5</v>
      </c>
      <c r="D74">
        <f t="shared" si="6"/>
        <v>7.8828750112835966E-3</v>
      </c>
      <c r="E74">
        <f t="shared" si="7"/>
        <v>-0.18524756276516452</v>
      </c>
      <c r="F74">
        <f t="shared" si="8"/>
        <v>552.25</v>
      </c>
      <c r="G74">
        <f t="shared" si="9"/>
        <v>6.2139718443519367E-5</v>
      </c>
    </row>
    <row r="75" spans="1:7" x14ac:dyDescent="0.3">
      <c r="A75">
        <v>68</v>
      </c>
      <c r="B75">
        <v>1.4931550603846115</v>
      </c>
      <c r="C75">
        <f t="shared" si="5"/>
        <v>-22.5</v>
      </c>
      <c r="D75">
        <f t="shared" si="6"/>
        <v>7.0436583599930991E-3</v>
      </c>
      <c r="E75">
        <f t="shared" si="7"/>
        <v>-0.15848231309984473</v>
      </c>
      <c r="F75">
        <f t="shared" si="8"/>
        <v>506.25</v>
      </c>
      <c r="G75">
        <f t="shared" si="9"/>
        <v>4.9613123092300676E-5</v>
      </c>
    </row>
    <row r="76" spans="1:7" x14ac:dyDescent="0.3">
      <c r="A76">
        <v>69</v>
      </c>
      <c r="B76">
        <v>1.4931550603846115</v>
      </c>
      <c r="C76">
        <f t="shared" si="5"/>
        <v>-21.5</v>
      </c>
      <c r="D76">
        <f t="shared" si="6"/>
        <v>7.0436583599930991E-3</v>
      </c>
      <c r="E76">
        <f t="shared" si="7"/>
        <v>-0.15143865473985163</v>
      </c>
      <c r="F76">
        <f t="shared" si="8"/>
        <v>462.25</v>
      </c>
      <c r="G76">
        <f t="shared" si="9"/>
        <v>4.9613123092300676E-5</v>
      </c>
    </row>
    <row r="77" spans="1:7" x14ac:dyDescent="0.3">
      <c r="A77">
        <v>70</v>
      </c>
      <c r="B77">
        <v>1.4923174622813866</v>
      </c>
      <c r="C77">
        <f t="shared" si="5"/>
        <v>-20.5</v>
      </c>
      <c r="D77">
        <f t="shared" si="6"/>
        <v>6.2060602567681755E-3</v>
      </c>
      <c r="E77">
        <f t="shared" si="7"/>
        <v>-0.1272242352637476</v>
      </c>
      <c r="F77">
        <f t="shared" si="8"/>
        <v>420.25</v>
      </c>
      <c r="G77">
        <f t="shared" si="9"/>
        <v>3.8515183910637471E-5</v>
      </c>
    </row>
    <row r="78" spans="1:7" x14ac:dyDescent="0.3">
      <c r="A78">
        <v>71</v>
      </c>
      <c r="B78">
        <v>1.4923174622813866</v>
      </c>
      <c r="C78">
        <f t="shared" si="5"/>
        <v>-19.5</v>
      </c>
      <c r="D78">
        <f t="shared" si="6"/>
        <v>6.2060602567681755E-3</v>
      </c>
      <c r="E78">
        <f t="shared" si="7"/>
        <v>-0.12101817500697942</v>
      </c>
      <c r="F78">
        <f t="shared" si="8"/>
        <v>380.25</v>
      </c>
      <c r="G78">
        <f t="shared" si="9"/>
        <v>3.8515183910637471E-5</v>
      </c>
    </row>
    <row r="79" spans="1:7" x14ac:dyDescent="0.3">
      <c r="A79">
        <v>72</v>
      </c>
      <c r="B79">
        <v>1.4923174622813866</v>
      </c>
      <c r="C79">
        <f t="shared" si="5"/>
        <v>-18.5</v>
      </c>
      <c r="D79">
        <f t="shared" si="6"/>
        <v>6.2060602567681755E-3</v>
      </c>
      <c r="E79">
        <f t="shared" si="7"/>
        <v>-0.11481211475021125</v>
      </c>
      <c r="F79">
        <f t="shared" si="8"/>
        <v>342.25</v>
      </c>
      <c r="G79">
        <f t="shared" si="9"/>
        <v>3.8515183910637471E-5</v>
      </c>
    </row>
    <row r="80" spans="1:7" x14ac:dyDescent="0.3">
      <c r="A80">
        <v>73</v>
      </c>
      <c r="B80">
        <v>1.4914814764950455</v>
      </c>
      <c r="C80">
        <f t="shared" si="5"/>
        <v>-17.5</v>
      </c>
      <c r="D80">
        <f t="shared" si="6"/>
        <v>5.3700744704270331E-3</v>
      </c>
      <c r="E80">
        <f t="shared" si="7"/>
        <v>-9.397630323247308E-2</v>
      </c>
      <c r="F80">
        <f t="shared" si="8"/>
        <v>306.25</v>
      </c>
      <c r="G80">
        <f t="shared" si="9"/>
        <v>2.8837699817932179E-5</v>
      </c>
    </row>
    <row r="81" spans="1:7" x14ac:dyDescent="0.3">
      <c r="A81">
        <v>74</v>
      </c>
      <c r="B81">
        <v>1.4914814764950455</v>
      </c>
      <c r="C81">
        <f t="shared" si="5"/>
        <v>-16.5</v>
      </c>
      <c r="D81">
        <f t="shared" si="6"/>
        <v>5.3700744704270331E-3</v>
      </c>
      <c r="E81">
        <f t="shared" si="7"/>
        <v>-8.8606228762046046E-2</v>
      </c>
      <c r="F81">
        <f t="shared" si="8"/>
        <v>272.25</v>
      </c>
      <c r="G81">
        <f t="shared" si="9"/>
        <v>2.8837699817932179E-5</v>
      </c>
    </row>
    <row r="82" spans="1:7" x14ac:dyDescent="0.3">
      <c r="A82">
        <v>75</v>
      </c>
      <c r="B82">
        <v>1.4914814764950455</v>
      </c>
      <c r="C82">
        <f t="shared" si="5"/>
        <v>-15.5</v>
      </c>
      <c r="D82">
        <f t="shared" si="6"/>
        <v>5.3700744704270331E-3</v>
      </c>
      <c r="E82">
        <f t="shared" si="7"/>
        <v>-8.3236154291619013E-2</v>
      </c>
      <c r="F82">
        <f t="shared" si="8"/>
        <v>240.25</v>
      </c>
      <c r="G82">
        <f t="shared" si="9"/>
        <v>2.8837699817932179E-5</v>
      </c>
    </row>
    <row r="83" spans="1:7" x14ac:dyDescent="0.3">
      <c r="A83">
        <v>76</v>
      </c>
      <c r="B83">
        <v>1.49064709683032</v>
      </c>
      <c r="C83">
        <f t="shared" si="5"/>
        <v>-14.5</v>
      </c>
      <c r="D83">
        <f t="shared" si="6"/>
        <v>4.5356948057015956E-3</v>
      </c>
      <c r="E83">
        <f t="shared" si="7"/>
        <v>-6.5767574682673136E-2</v>
      </c>
      <c r="F83">
        <f t="shared" si="8"/>
        <v>210.25</v>
      </c>
      <c r="G83">
        <f t="shared" si="9"/>
        <v>2.0572527370468434E-5</v>
      </c>
    </row>
    <row r="84" spans="1:7" x14ac:dyDescent="0.3">
      <c r="A84">
        <v>77</v>
      </c>
      <c r="B84">
        <v>1.49064709683032</v>
      </c>
      <c r="C84">
        <f t="shared" si="5"/>
        <v>-13.5</v>
      </c>
      <c r="D84">
        <f t="shared" si="6"/>
        <v>4.5356948057015956E-3</v>
      </c>
      <c r="E84">
        <f t="shared" si="7"/>
        <v>-6.123187987697154E-2</v>
      </c>
      <c r="F84">
        <f t="shared" si="8"/>
        <v>182.25</v>
      </c>
      <c r="G84">
        <f t="shared" si="9"/>
        <v>2.0572527370468434E-5</v>
      </c>
    </row>
    <row r="85" spans="1:7" x14ac:dyDescent="0.3">
      <c r="A85">
        <v>78</v>
      </c>
      <c r="B85">
        <v>1.4898143171275824</v>
      </c>
      <c r="C85">
        <f t="shared" si="5"/>
        <v>-12.5</v>
      </c>
      <c r="D85">
        <f t="shared" si="6"/>
        <v>3.702915102963944E-3</v>
      </c>
      <c r="E85">
        <f t="shared" si="7"/>
        <v>-4.62864387870493E-2</v>
      </c>
      <c r="F85">
        <f t="shared" si="8"/>
        <v>156.25</v>
      </c>
      <c r="G85">
        <f t="shared" si="9"/>
        <v>1.3711580259758475E-5</v>
      </c>
    </row>
    <row r="86" spans="1:7" x14ac:dyDescent="0.3">
      <c r="A86">
        <v>79</v>
      </c>
      <c r="B86">
        <v>1.4898143171275824</v>
      </c>
      <c r="C86">
        <f t="shared" si="5"/>
        <v>-11.5</v>
      </c>
      <c r="D86">
        <f t="shared" si="6"/>
        <v>3.702915102963944E-3</v>
      </c>
      <c r="E86">
        <f t="shared" si="7"/>
        <v>-4.2583523684085356E-2</v>
      </c>
      <c r="F86">
        <f t="shared" si="8"/>
        <v>132.25</v>
      </c>
      <c r="G86">
        <f t="shared" si="9"/>
        <v>1.3711580259758475E-5</v>
      </c>
    </row>
    <row r="87" spans="1:7" x14ac:dyDescent="0.3">
      <c r="A87">
        <v>80</v>
      </c>
      <c r="B87">
        <v>1.4889831312625703</v>
      </c>
      <c r="C87">
        <f t="shared" si="5"/>
        <v>-10.5</v>
      </c>
      <c r="D87">
        <f t="shared" si="6"/>
        <v>2.87172923795187E-3</v>
      </c>
      <c r="E87">
        <f t="shared" si="7"/>
        <v>-3.0153156998494635E-2</v>
      </c>
      <c r="F87">
        <f t="shared" si="8"/>
        <v>110.25</v>
      </c>
      <c r="G87">
        <f t="shared" si="9"/>
        <v>8.2468288161076273E-6</v>
      </c>
    </row>
    <row r="88" spans="1:7" x14ac:dyDescent="0.3">
      <c r="A88">
        <v>81</v>
      </c>
      <c r="B88">
        <v>1.4889831312625703</v>
      </c>
      <c r="C88">
        <f t="shared" si="5"/>
        <v>-9.5</v>
      </c>
      <c r="D88">
        <f t="shared" si="6"/>
        <v>2.87172923795187E-3</v>
      </c>
      <c r="E88">
        <f t="shared" si="7"/>
        <v>-2.7281427760542765E-2</v>
      </c>
      <c r="F88">
        <f t="shared" si="8"/>
        <v>90.25</v>
      </c>
      <c r="G88">
        <f t="shared" si="9"/>
        <v>8.2468288161076273E-6</v>
      </c>
    </row>
    <row r="89" spans="1:7" x14ac:dyDescent="0.3">
      <c r="A89">
        <v>82</v>
      </c>
      <c r="B89">
        <v>1.4889831312625703</v>
      </c>
      <c r="C89">
        <f t="shared" si="5"/>
        <v>-8.5</v>
      </c>
      <c r="D89">
        <f t="shared" si="6"/>
        <v>2.87172923795187E-3</v>
      </c>
      <c r="E89">
        <f t="shared" si="7"/>
        <v>-2.4409698522590895E-2</v>
      </c>
      <c r="F89">
        <f t="shared" si="8"/>
        <v>72.25</v>
      </c>
      <c r="G89">
        <f t="shared" si="9"/>
        <v>8.2468288161076273E-6</v>
      </c>
    </row>
    <row r="90" spans="1:7" x14ac:dyDescent="0.3">
      <c r="A90">
        <v>83</v>
      </c>
      <c r="B90">
        <v>1.4881535331461178</v>
      </c>
      <c r="C90">
        <f t="shared" si="5"/>
        <v>-7.5</v>
      </c>
      <c r="D90">
        <f t="shared" si="6"/>
        <v>2.0421311214993132E-3</v>
      </c>
      <c r="E90">
        <f t="shared" si="7"/>
        <v>-1.5315983411244849E-2</v>
      </c>
      <c r="F90">
        <f t="shared" si="8"/>
        <v>56.25</v>
      </c>
      <c r="G90">
        <f t="shared" si="9"/>
        <v>4.1702995173960425E-6</v>
      </c>
    </row>
    <row r="91" spans="1:7" x14ac:dyDescent="0.3">
      <c r="A91">
        <v>84</v>
      </c>
      <c r="B91">
        <v>1.4881535331461178</v>
      </c>
      <c r="C91">
        <f t="shared" si="5"/>
        <v>-6.5</v>
      </c>
      <c r="D91">
        <f t="shared" si="6"/>
        <v>2.0421311214993132E-3</v>
      </c>
      <c r="E91">
        <f t="shared" si="7"/>
        <v>-1.3273852289745536E-2</v>
      </c>
      <c r="F91">
        <f t="shared" si="8"/>
        <v>42.25</v>
      </c>
      <c r="G91">
        <f t="shared" si="9"/>
        <v>4.1702995173960425E-6</v>
      </c>
    </row>
    <row r="92" spans="1:7" x14ac:dyDescent="0.3">
      <c r="A92">
        <v>85</v>
      </c>
      <c r="B92">
        <v>1.4881535331461178</v>
      </c>
      <c r="C92">
        <f t="shared" si="5"/>
        <v>-5.5</v>
      </c>
      <c r="D92">
        <f t="shared" si="6"/>
        <v>2.0421311214993132E-3</v>
      </c>
      <c r="E92">
        <f t="shared" si="7"/>
        <v>-1.1231721168246223E-2</v>
      </c>
      <c r="F92">
        <f t="shared" si="8"/>
        <v>30.25</v>
      </c>
      <c r="G92">
        <f t="shared" si="9"/>
        <v>4.1702995173960425E-6</v>
      </c>
    </row>
    <row r="93" spans="1:7" x14ac:dyDescent="0.3">
      <c r="A93">
        <v>86</v>
      </c>
      <c r="B93">
        <v>1.4873255167238877</v>
      </c>
      <c r="C93">
        <f t="shared" si="5"/>
        <v>-4.5</v>
      </c>
      <c r="D93">
        <f t="shared" si="6"/>
        <v>1.214114699269242E-3</v>
      </c>
      <c r="E93">
        <f t="shared" si="7"/>
        <v>-5.4635161467115889E-3</v>
      </c>
      <c r="F93">
        <f t="shared" si="8"/>
        <v>20.25</v>
      </c>
      <c r="G93">
        <f t="shared" si="9"/>
        <v>1.474074502981642E-6</v>
      </c>
    </row>
    <row r="94" spans="1:7" x14ac:dyDescent="0.3">
      <c r="A94">
        <v>87</v>
      </c>
      <c r="B94">
        <v>1.4864990759761054</v>
      </c>
      <c r="C94">
        <f t="shared" si="5"/>
        <v>-3.5</v>
      </c>
      <c r="D94">
        <f t="shared" si="6"/>
        <v>3.8767395148697759E-4</v>
      </c>
      <c r="E94">
        <f t="shared" si="7"/>
        <v>-1.3568588302044216E-3</v>
      </c>
      <c r="F94">
        <f t="shared" si="8"/>
        <v>12.25</v>
      </c>
      <c r="G94">
        <f t="shared" si="9"/>
        <v>1.5029109266152746E-7</v>
      </c>
    </row>
    <row r="95" spans="1:7" x14ac:dyDescent="0.3">
      <c r="A95">
        <v>88</v>
      </c>
      <c r="B95">
        <v>1.4864990759761054</v>
      </c>
      <c r="C95">
        <f t="shared" si="5"/>
        <v>-2.5</v>
      </c>
      <c r="D95">
        <f t="shared" si="6"/>
        <v>3.8767395148697759E-4</v>
      </c>
      <c r="E95">
        <f t="shared" si="7"/>
        <v>-9.6918487871744397E-4</v>
      </c>
      <c r="F95">
        <f t="shared" si="8"/>
        <v>6.25</v>
      </c>
      <c r="G95">
        <f t="shared" si="9"/>
        <v>1.5029109266152746E-7</v>
      </c>
    </row>
    <row r="96" spans="1:7" x14ac:dyDescent="0.3">
      <c r="A96">
        <v>89</v>
      </c>
      <c r="B96">
        <v>1.4864990759761054</v>
      </c>
      <c r="C96">
        <f t="shared" si="5"/>
        <v>-1.5</v>
      </c>
      <c r="D96">
        <f t="shared" si="6"/>
        <v>3.8767395148697759E-4</v>
      </c>
      <c r="E96">
        <f t="shared" si="7"/>
        <v>-5.8151092723046638E-4</v>
      </c>
      <c r="F96">
        <f t="shared" si="8"/>
        <v>2.25</v>
      </c>
      <c r="G96">
        <f t="shared" si="9"/>
        <v>1.5029109266152746E-7</v>
      </c>
    </row>
    <row r="97" spans="1:7" x14ac:dyDescent="0.3">
      <c r="A97">
        <v>90</v>
      </c>
      <c r="B97">
        <v>1.485674204917298</v>
      </c>
      <c r="C97">
        <f t="shared" si="5"/>
        <v>-0.5</v>
      </c>
      <c r="D97">
        <f t="shared" si="6"/>
        <v>-4.3719710732048611E-4</v>
      </c>
      <c r="E97">
        <f t="shared" si="7"/>
        <v>2.1859855366024306E-4</v>
      </c>
      <c r="F97">
        <f t="shared" si="8"/>
        <v>0.25</v>
      </c>
      <c r="G97">
        <f t="shared" si="9"/>
        <v>1.9114131064940064E-7</v>
      </c>
    </row>
    <row r="98" spans="1:7" x14ac:dyDescent="0.3">
      <c r="A98">
        <v>91</v>
      </c>
      <c r="B98">
        <v>1.485674204917298</v>
      </c>
      <c r="C98">
        <f t="shared" si="5"/>
        <v>0.5</v>
      </c>
      <c r="D98">
        <f t="shared" si="6"/>
        <v>-4.3719710732048611E-4</v>
      </c>
      <c r="E98">
        <f t="shared" si="7"/>
        <v>-2.1859855366024306E-4</v>
      </c>
      <c r="F98">
        <f t="shared" si="8"/>
        <v>0.25</v>
      </c>
      <c r="G98">
        <f t="shared" si="9"/>
        <v>1.9114131064940064E-7</v>
      </c>
    </row>
    <row r="99" spans="1:7" x14ac:dyDescent="0.3">
      <c r="A99">
        <v>92</v>
      </c>
      <c r="B99">
        <v>1.485674204917298</v>
      </c>
      <c r="C99">
        <f t="shared" si="5"/>
        <v>1.5</v>
      </c>
      <c r="D99">
        <f t="shared" si="6"/>
        <v>-4.3719710732048611E-4</v>
      </c>
      <c r="E99">
        <f t="shared" si="7"/>
        <v>-6.5579566098072917E-4</v>
      </c>
      <c r="F99">
        <f t="shared" si="8"/>
        <v>2.25</v>
      </c>
      <c r="G99">
        <f t="shared" si="9"/>
        <v>1.9114131064940064E-7</v>
      </c>
    </row>
    <row r="100" spans="1:7" x14ac:dyDescent="0.3">
      <c r="A100">
        <v>93</v>
      </c>
      <c r="B100">
        <v>1.4848508975960322</v>
      </c>
      <c r="C100">
        <f t="shared" si="5"/>
        <v>2.5</v>
      </c>
      <c r="D100">
        <f t="shared" si="6"/>
        <v>-1.2605044285862732E-3</v>
      </c>
      <c r="E100">
        <f t="shared" si="7"/>
        <v>-3.151261071465683E-3</v>
      </c>
      <c r="F100">
        <f t="shared" si="8"/>
        <v>6.25</v>
      </c>
      <c r="G100">
        <f t="shared" si="9"/>
        <v>1.5888714144856072E-6</v>
      </c>
    </row>
    <row r="101" spans="1:7" x14ac:dyDescent="0.3">
      <c r="A101">
        <v>94</v>
      </c>
      <c r="B101">
        <v>1.4848508975960322</v>
      </c>
      <c r="C101">
        <f t="shared" si="5"/>
        <v>3.5</v>
      </c>
      <c r="D101">
        <f t="shared" si="6"/>
        <v>-1.2605044285862732E-3</v>
      </c>
      <c r="E101">
        <f t="shared" si="7"/>
        <v>-4.4117655000519562E-3</v>
      </c>
      <c r="F101">
        <f t="shared" si="8"/>
        <v>12.25</v>
      </c>
      <c r="G101">
        <f t="shared" si="9"/>
        <v>1.5888714144856072E-6</v>
      </c>
    </row>
    <row r="102" spans="1:7" x14ac:dyDescent="0.3">
      <c r="A102">
        <v>95</v>
      </c>
      <c r="B102">
        <v>1.4848508975960322</v>
      </c>
      <c r="C102">
        <f t="shared" si="5"/>
        <v>4.5</v>
      </c>
      <c r="D102">
        <f t="shared" si="6"/>
        <v>-1.2605044285862732E-3</v>
      </c>
      <c r="E102">
        <f t="shared" si="7"/>
        <v>-5.6722699286382294E-3</v>
      </c>
      <c r="F102">
        <f t="shared" si="8"/>
        <v>20.25</v>
      </c>
      <c r="G102">
        <f t="shared" si="9"/>
        <v>1.5888714144856072E-6</v>
      </c>
    </row>
    <row r="103" spans="1:7" x14ac:dyDescent="0.3">
      <c r="A103">
        <v>96</v>
      </c>
      <c r="B103">
        <v>1.4848508975960322</v>
      </c>
      <c r="C103">
        <f t="shared" si="5"/>
        <v>5.5</v>
      </c>
      <c r="D103">
        <f t="shared" si="6"/>
        <v>-1.2605044285862732E-3</v>
      </c>
      <c r="E103">
        <f t="shared" si="7"/>
        <v>-6.9327743572245026E-3</v>
      </c>
      <c r="F103">
        <f t="shared" si="8"/>
        <v>30.25</v>
      </c>
      <c r="G103">
        <f t="shared" si="9"/>
        <v>1.5888714144856072E-6</v>
      </c>
    </row>
    <row r="104" spans="1:7" x14ac:dyDescent="0.3">
      <c r="A104">
        <v>97</v>
      </c>
      <c r="B104">
        <v>1.4840291480946588</v>
      </c>
      <c r="C104">
        <f t="shared" si="5"/>
        <v>6.5</v>
      </c>
      <c r="D104">
        <f t="shared" si="6"/>
        <v>-2.0822539299596432E-3</v>
      </c>
      <c r="E104">
        <f t="shared" si="7"/>
        <v>-1.3534650544737681E-2</v>
      </c>
      <c r="F104">
        <f t="shared" si="8"/>
        <v>42.25</v>
      </c>
      <c r="G104">
        <f t="shared" si="9"/>
        <v>4.3357814288323785E-6</v>
      </c>
    </row>
    <row r="105" spans="1:7" x14ac:dyDescent="0.3">
      <c r="A105">
        <v>98</v>
      </c>
      <c r="B105">
        <v>1.4832089505290555</v>
      </c>
      <c r="C105">
        <f t="shared" si="5"/>
        <v>7.5</v>
      </c>
      <c r="D105">
        <f t="shared" si="6"/>
        <v>-2.9024514955628966E-3</v>
      </c>
      <c r="E105">
        <f t="shared" si="7"/>
        <v>-2.1768386216721725E-2</v>
      </c>
      <c r="F105">
        <f t="shared" si="8"/>
        <v>56.25</v>
      </c>
      <c r="G105">
        <f t="shared" si="9"/>
        <v>8.4242246840952945E-6</v>
      </c>
    </row>
    <row r="106" spans="1:7" x14ac:dyDescent="0.3">
      <c r="A106">
        <v>99</v>
      </c>
      <c r="B106">
        <v>1.4832089505290555</v>
      </c>
      <c r="C106">
        <f t="shared" si="5"/>
        <v>8.5</v>
      </c>
      <c r="D106">
        <f t="shared" si="6"/>
        <v>-2.9024514955628966E-3</v>
      </c>
      <c r="E106">
        <f t="shared" si="7"/>
        <v>-2.4670837712284621E-2</v>
      </c>
      <c r="F106">
        <f t="shared" si="8"/>
        <v>72.25</v>
      </c>
      <c r="G106">
        <f t="shared" si="9"/>
        <v>8.4242246840952945E-6</v>
      </c>
    </row>
    <row r="107" spans="1:7" x14ac:dyDescent="0.3">
      <c r="A107">
        <v>100</v>
      </c>
      <c r="B107">
        <v>1.4823902990483755</v>
      </c>
      <c r="C107">
        <f t="shared" si="5"/>
        <v>9.5</v>
      </c>
      <c r="D107">
        <f t="shared" si="6"/>
        <v>-3.7211029762429515E-3</v>
      </c>
      <c r="E107">
        <f t="shared" si="7"/>
        <v>-3.5350478274308039E-2</v>
      </c>
      <c r="F107">
        <f t="shared" si="8"/>
        <v>90.25</v>
      </c>
      <c r="G107">
        <f t="shared" si="9"/>
        <v>1.3846607359804151E-5</v>
      </c>
    </row>
    <row r="108" spans="1:7" x14ac:dyDescent="0.3">
      <c r="A108">
        <v>101</v>
      </c>
      <c r="B108">
        <v>1.4823902990483755</v>
      </c>
      <c r="C108">
        <f t="shared" si="5"/>
        <v>10.5</v>
      </c>
      <c r="D108">
        <f t="shared" si="6"/>
        <v>-3.7211029762429515E-3</v>
      </c>
      <c r="E108">
        <f t="shared" si="7"/>
        <v>-3.9071581250550991E-2</v>
      </c>
      <c r="F108">
        <f t="shared" si="8"/>
        <v>110.25</v>
      </c>
      <c r="G108">
        <f t="shared" si="9"/>
        <v>1.3846607359804151E-5</v>
      </c>
    </row>
    <row r="109" spans="1:7" x14ac:dyDescent="0.3">
      <c r="A109">
        <v>102</v>
      </c>
      <c r="B109">
        <v>1.4823902990483755</v>
      </c>
      <c r="C109">
        <f t="shared" si="5"/>
        <v>11.5</v>
      </c>
      <c r="D109">
        <f t="shared" si="6"/>
        <v>-3.7211029762429515E-3</v>
      </c>
      <c r="E109">
        <f t="shared" si="7"/>
        <v>-4.2792684226793942E-2</v>
      </c>
      <c r="F109">
        <f t="shared" si="8"/>
        <v>132.25</v>
      </c>
      <c r="G109">
        <f t="shared" si="9"/>
        <v>1.3846607359804151E-5</v>
      </c>
    </row>
    <row r="110" spans="1:7" x14ac:dyDescent="0.3">
      <c r="A110">
        <v>103</v>
      </c>
      <c r="B110">
        <v>1.4815731878347964</v>
      </c>
      <c r="C110">
        <f t="shared" si="5"/>
        <v>12.5</v>
      </c>
      <c r="D110">
        <f t="shared" si="6"/>
        <v>-4.5382141898220318E-3</v>
      </c>
      <c r="E110">
        <f t="shared" si="7"/>
        <v>-5.6727677372775398E-2</v>
      </c>
      <c r="F110">
        <f t="shared" si="8"/>
        <v>156.25</v>
      </c>
      <c r="G110">
        <f t="shared" si="9"/>
        <v>2.0595388032702041E-5</v>
      </c>
    </row>
    <row r="111" spans="1:7" x14ac:dyDescent="0.3">
      <c r="A111">
        <v>104</v>
      </c>
      <c r="B111">
        <v>1.4815731878347964</v>
      </c>
      <c r="C111">
        <f t="shared" si="5"/>
        <v>13.5</v>
      </c>
      <c r="D111">
        <f t="shared" si="6"/>
        <v>-4.5382141898220318E-3</v>
      </c>
      <c r="E111">
        <f t="shared" si="7"/>
        <v>-6.126589156259743E-2</v>
      </c>
      <c r="F111">
        <f t="shared" si="8"/>
        <v>182.25</v>
      </c>
      <c r="G111">
        <f t="shared" si="9"/>
        <v>2.0595388032702041E-5</v>
      </c>
    </row>
    <row r="112" spans="1:7" x14ac:dyDescent="0.3">
      <c r="A112">
        <v>105</v>
      </c>
      <c r="B112">
        <v>1.4807576111032723</v>
      </c>
      <c r="C112">
        <f t="shared" si="5"/>
        <v>14.5</v>
      </c>
      <c r="D112">
        <f t="shared" si="6"/>
        <v>-5.3537909213461354E-3</v>
      </c>
      <c r="E112">
        <f t="shared" si="7"/>
        <v>-7.7629968359518964E-2</v>
      </c>
      <c r="F112">
        <f t="shared" si="8"/>
        <v>210.25</v>
      </c>
      <c r="G112">
        <f t="shared" si="9"/>
        <v>2.86630772294883E-5</v>
      </c>
    </row>
    <row r="113" spans="1:7" x14ac:dyDescent="0.3">
      <c r="A113">
        <v>106</v>
      </c>
      <c r="B113">
        <v>1.4799435631012881</v>
      </c>
      <c r="C113">
        <f t="shared" si="5"/>
        <v>15.5</v>
      </c>
      <c r="D113">
        <f t="shared" si="6"/>
        <v>-6.1678389233303932E-3</v>
      </c>
      <c r="E113">
        <f t="shared" si="7"/>
        <v>-9.5601503311621094E-2</v>
      </c>
      <c r="F113">
        <f t="shared" si="8"/>
        <v>240.25</v>
      </c>
      <c r="G113">
        <f t="shared" si="9"/>
        <v>3.8042236984149426E-5</v>
      </c>
    </row>
    <row r="114" spans="1:7" x14ac:dyDescent="0.3">
      <c r="A114">
        <v>107</v>
      </c>
      <c r="B114">
        <v>1.479131038108616</v>
      </c>
      <c r="C114">
        <f t="shared" si="5"/>
        <v>16.5</v>
      </c>
      <c r="D114">
        <f t="shared" si="6"/>
        <v>-6.98036391600243E-3</v>
      </c>
      <c r="E114">
        <f t="shared" si="7"/>
        <v>-0.1151760046140401</v>
      </c>
      <c r="F114">
        <f t="shared" si="8"/>
        <v>272.25</v>
      </c>
      <c r="G114">
        <f t="shared" si="9"/>
        <v>4.8725480399828782E-5</v>
      </c>
    </row>
    <row r="115" spans="1:7" x14ac:dyDescent="0.3">
      <c r="A115">
        <v>108</v>
      </c>
      <c r="B115">
        <v>1.479131038108616</v>
      </c>
      <c r="C115">
        <f t="shared" si="5"/>
        <v>17.5</v>
      </c>
      <c r="D115">
        <f t="shared" si="6"/>
        <v>-6.98036391600243E-3</v>
      </c>
      <c r="E115">
        <f t="shared" si="7"/>
        <v>-0.12215636853004253</v>
      </c>
      <c r="F115">
        <f t="shared" si="8"/>
        <v>306.25</v>
      </c>
      <c r="G115">
        <f t="shared" si="9"/>
        <v>4.8725480399828782E-5</v>
      </c>
    </row>
    <row r="116" spans="1:7" x14ac:dyDescent="0.3">
      <c r="A116">
        <v>109</v>
      </c>
      <c r="B116">
        <v>1.4783200304370745</v>
      </c>
      <c r="C116">
        <f t="shared" si="5"/>
        <v>18.5</v>
      </c>
      <c r="D116">
        <f t="shared" si="6"/>
        <v>-7.7913715875439493E-3</v>
      </c>
      <c r="E116">
        <f t="shared" si="7"/>
        <v>-0.14414037436956306</v>
      </c>
      <c r="F116">
        <f t="shared" si="8"/>
        <v>342.25</v>
      </c>
      <c r="G116">
        <f t="shared" si="9"/>
        <v>6.0705471215187118E-5</v>
      </c>
    </row>
    <row r="117" spans="1:7" x14ac:dyDescent="0.3">
      <c r="A117">
        <v>110</v>
      </c>
      <c r="B117">
        <v>1.4783200304370745</v>
      </c>
      <c r="C117">
        <f t="shared" si="5"/>
        <v>19.5</v>
      </c>
      <c r="D117">
        <f t="shared" si="6"/>
        <v>-7.7913715875439493E-3</v>
      </c>
      <c r="E117">
        <f t="shared" si="7"/>
        <v>-0.15193174595710701</v>
      </c>
      <c r="F117">
        <f t="shared" si="8"/>
        <v>380.25</v>
      </c>
      <c r="G117">
        <f t="shared" si="9"/>
        <v>6.0705471215187118E-5</v>
      </c>
    </row>
    <row r="118" spans="1:7" x14ac:dyDescent="0.3">
      <c r="A118">
        <v>111</v>
      </c>
      <c r="B118">
        <v>1.4783200304370745</v>
      </c>
      <c r="C118">
        <f t="shared" si="5"/>
        <v>20.5</v>
      </c>
      <c r="D118">
        <f t="shared" si="6"/>
        <v>-7.7913715875439493E-3</v>
      </c>
      <c r="E118">
        <f t="shared" si="7"/>
        <v>-0.15972311754465096</v>
      </c>
      <c r="F118">
        <f t="shared" si="8"/>
        <v>420.25</v>
      </c>
      <c r="G118">
        <f t="shared" si="9"/>
        <v>6.0705471215187118E-5</v>
      </c>
    </row>
    <row r="119" spans="1:7" x14ac:dyDescent="0.3">
      <c r="A119">
        <v>112</v>
      </c>
      <c r="B119">
        <v>1.477510534430289</v>
      </c>
      <c r="C119">
        <f t="shared" si="5"/>
        <v>21.5</v>
      </c>
      <c r="D119">
        <f t="shared" si="6"/>
        <v>-8.600867594329431E-3</v>
      </c>
      <c r="E119">
        <f t="shared" si="7"/>
        <v>-0.18491865327808277</v>
      </c>
      <c r="F119">
        <f t="shared" si="8"/>
        <v>462.25</v>
      </c>
      <c r="G119">
        <f t="shared" si="9"/>
        <v>7.3974923375186134E-5</v>
      </c>
    </row>
    <row r="120" spans="1:7" x14ac:dyDescent="0.3">
      <c r="A120">
        <v>113</v>
      </c>
      <c r="B120">
        <v>1.477510534430289</v>
      </c>
      <c r="C120">
        <f t="shared" si="5"/>
        <v>22.5</v>
      </c>
      <c r="D120">
        <f t="shared" si="6"/>
        <v>-8.600867594329431E-3</v>
      </c>
      <c r="E120">
        <f t="shared" si="7"/>
        <v>-0.1935195208724122</v>
      </c>
      <c r="F120">
        <f t="shared" si="8"/>
        <v>506.25</v>
      </c>
      <c r="G120">
        <f t="shared" si="9"/>
        <v>7.3974923375186134E-5</v>
      </c>
    </row>
    <row r="121" spans="1:7" x14ac:dyDescent="0.3">
      <c r="A121">
        <v>114</v>
      </c>
      <c r="B121">
        <v>1.4767025444634554</v>
      </c>
      <c r="C121">
        <f t="shared" si="5"/>
        <v>23.5</v>
      </c>
      <c r="D121">
        <f t="shared" si="6"/>
        <v>-9.4088575611630532E-3</v>
      </c>
      <c r="E121">
        <f t="shared" si="7"/>
        <v>-0.22110815268733175</v>
      </c>
      <c r="F121">
        <f t="shared" si="8"/>
        <v>552.25</v>
      </c>
      <c r="G121">
        <f t="shared" si="9"/>
        <v>8.8526600606255159E-5</v>
      </c>
    </row>
    <row r="122" spans="1:7" x14ac:dyDescent="0.3">
      <c r="A122">
        <v>115</v>
      </c>
      <c r="B122">
        <v>1.4767025444634554</v>
      </c>
      <c r="C122">
        <f t="shared" si="5"/>
        <v>24.5</v>
      </c>
      <c r="D122">
        <f t="shared" si="6"/>
        <v>-9.4088575611630532E-3</v>
      </c>
      <c r="E122">
        <f t="shared" si="7"/>
        <v>-0.2305170102484948</v>
      </c>
      <c r="F122">
        <f t="shared" si="8"/>
        <v>600.25</v>
      </c>
      <c r="G122">
        <f t="shared" si="9"/>
        <v>8.8526600606255159E-5</v>
      </c>
    </row>
    <row r="123" spans="1:7" x14ac:dyDescent="0.3">
      <c r="A123">
        <v>116</v>
      </c>
      <c r="B123">
        <v>1.4767025444634554</v>
      </c>
      <c r="C123">
        <f t="shared" si="5"/>
        <v>25.5</v>
      </c>
      <c r="D123">
        <f t="shared" si="6"/>
        <v>-9.4088575611630532E-3</v>
      </c>
      <c r="E123">
        <f t="shared" si="7"/>
        <v>-0.23992586780965786</v>
      </c>
      <c r="F123">
        <f t="shared" si="8"/>
        <v>650.25</v>
      </c>
      <c r="G123">
        <f t="shared" si="9"/>
        <v>8.8526600606255159E-5</v>
      </c>
    </row>
    <row r="124" spans="1:7" x14ac:dyDescent="0.3">
      <c r="A124">
        <v>117</v>
      </c>
      <c r="B124">
        <v>1.4758960549431059</v>
      </c>
      <c r="C124">
        <f t="shared" si="5"/>
        <v>26.5</v>
      </c>
      <c r="D124">
        <f t="shared" si="6"/>
        <v>-1.0215347081512505E-2</v>
      </c>
      <c r="E124">
        <f t="shared" si="7"/>
        <v>-0.27070669766008137</v>
      </c>
      <c r="F124">
        <f t="shared" si="8"/>
        <v>702.25</v>
      </c>
      <c r="G124">
        <f t="shared" si="9"/>
        <v>1.0435331599576605E-4</v>
      </c>
    </row>
    <row r="125" spans="1:7" x14ac:dyDescent="0.3">
      <c r="A125">
        <v>118</v>
      </c>
      <c r="B125">
        <v>1.4758960549431059</v>
      </c>
      <c r="C125">
        <f t="shared" si="5"/>
        <v>27.5</v>
      </c>
      <c r="D125">
        <f t="shared" si="6"/>
        <v>-1.0215347081512505E-2</v>
      </c>
      <c r="E125">
        <f t="shared" si="7"/>
        <v>-0.28092204474159388</v>
      </c>
      <c r="F125">
        <f t="shared" si="8"/>
        <v>756.25</v>
      </c>
      <c r="G125">
        <f t="shared" si="9"/>
        <v>1.0435331599576605E-4</v>
      </c>
    </row>
    <row r="126" spans="1:7" x14ac:dyDescent="0.3">
      <c r="A126">
        <v>119</v>
      </c>
      <c r="B126">
        <v>1.4758960549431059</v>
      </c>
      <c r="C126">
        <f t="shared" si="5"/>
        <v>28.5</v>
      </c>
      <c r="D126">
        <f t="shared" si="6"/>
        <v>-1.0215347081512505E-2</v>
      </c>
      <c r="E126">
        <f t="shared" si="7"/>
        <v>-0.29113739182310638</v>
      </c>
      <c r="F126">
        <f t="shared" si="8"/>
        <v>812.25</v>
      </c>
      <c r="G126">
        <f t="shared" si="9"/>
        <v>1.0435331599576605E-4</v>
      </c>
    </row>
    <row r="127" spans="1:7" x14ac:dyDescent="0.3">
      <c r="A127">
        <v>120</v>
      </c>
      <c r="B127">
        <v>1.4758960549431059</v>
      </c>
      <c r="C127">
        <f t="shared" si="5"/>
        <v>29.5</v>
      </c>
      <c r="D127">
        <f t="shared" si="6"/>
        <v>-1.0215347081512505E-2</v>
      </c>
      <c r="E127">
        <f t="shared" si="7"/>
        <v>-0.30135273890461889</v>
      </c>
      <c r="F127">
        <f t="shared" si="8"/>
        <v>870.25</v>
      </c>
      <c r="G127">
        <f t="shared" si="9"/>
        <v>1.0435331599576605E-4</v>
      </c>
    </row>
    <row r="128" spans="1:7" x14ac:dyDescent="0.3">
      <c r="A128">
        <v>121</v>
      </c>
      <c r="B128">
        <v>1.4750910603068759</v>
      </c>
      <c r="C128">
        <f t="shared" si="5"/>
        <v>30.5</v>
      </c>
      <c r="D128">
        <f t="shared" si="6"/>
        <v>-1.1020341717742577E-2</v>
      </c>
      <c r="E128">
        <f t="shared" si="7"/>
        <v>-0.33612042239114859</v>
      </c>
      <c r="F128">
        <f t="shared" si="8"/>
        <v>930.25</v>
      </c>
      <c r="G128">
        <f t="shared" si="9"/>
        <v>1.214479315758174E-4</v>
      </c>
    </row>
    <row r="129" spans="1:7" x14ac:dyDescent="0.3">
      <c r="A129">
        <v>122</v>
      </c>
      <c r="B129">
        <v>1.4750910603068759</v>
      </c>
      <c r="C129">
        <f t="shared" si="5"/>
        <v>31.5</v>
      </c>
      <c r="D129">
        <f t="shared" si="6"/>
        <v>-1.1020341717742577E-2</v>
      </c>
      <c r="E129">
        <f t="shared" si="7"/>
        <v>-0.34714076410889116</v>
      </c>
      <c r="F129">
        <f t="shared" si="8"/>
        <v>992.25</v>
      </c>
      <c r="G129">
        <f t="shared" si="9"/>
        <v>1.214479315758174E-4</v>
      </c>
    </row>
    <row r="130" spans="1:7" x14ac:dyDescent="0.3">
      <c r="A130">
        <v>123</v>
      </c>
      <c r="B130">
        <v>1.4750910603068759</v>
      </c>
      <c r="C130">
        <f t="shared" si="5"/>
        <v>32.5</v>
      </c>
      <c r="D130">
        <f t="shared" si="6"/>
        <v>-1.1020341717742577E-2</v>
      </c>
      <c r="E130">
        <f t="shared" si="7"/>
        <v>-0.35816110582663374</v>
      </c>
      <c r="F130">
        <f t="shared" si="8"/>
        <v>1056.25</v>
      </c>
      <c r="G130">
        <f t="shared" si="9"/>
        <v>1.214479315758174E-4</v>
      </c>
    </row>
    <row r="131" spans="1:7" x14ac:dyDescent="0.3">
      <c r="A131">
        <v>124</v>
      </c>
      <c r="B131">
        <v>1.4742875550232752</v>
      </c>
      <c r="C131">
        <f t="shared" si="5"/>
        <v>33.5</v>
      </c>
      <c r="D131">
        <f t="shared" si="6"/>
        <v>-1.1823847001343202E-2</v>
      </c>
      <c r="E131">
        <f t="shared" si="7"/>
        <v>-0.39609887454499726</v>
      </c>
      <c r="F131">
        <f t="shared" si="8"/>
        <v>1122.25</v>
      </c>
      <c r="G131">
        <f t="shared" si="9"/>
        <v>1.3980335791117263E-4</v>
      </c>
    </row>
    <row r="132" spans="1:7" x14ac:dyDescent="0.3">
      <c r="A132">
        <v>125</v>
      </c>
      <c r="B132">
        <v>1.4742875550232752</v>
      </c>
      <c r="C132">
        <f t="shared" si="5"/>
        <v>34.5</v>
      </c>
      <c r="D132">
        <f t="shared" si="6"/>
        <v>-1.1823847001343202E-2</v>
      </c>
      <c r="E132">
        <f t="shared" si="7"/>
        <v>-0.40792272154634046</v>
      </c>
      <c r="F132">
        <f t="shared" si="8"/>
        <v>1190.25</v>
      </c>
      <c r="G132">
        <f t="shared" si="9"/>
        <v>1.3980335791117263E-4</v>
      </c>
    </row>
    <row r="133" spans="1:7" x14ac:dyDescent="0.3">
      <c r="A133">
        <v>126</v>
      </c>
      <c r="B133">
        <v>1.4734855335914576</v>
      </c>
      <c r="C133">
        <f t="shared" si="5"/>
        <v>35.5</v>
      </c>
      <c r="D133">
        <f t="shared" si="6"/>
        <v>-1.2625868433160825E-2</v>
      </c>
      <c r="E133">
        <f t="shared" si="7"/>
        <v>-0.44821832937720929</v>
      </c>
      <c r="F133">
        <f t="shared" si="8"/>
        <v>1260.25</v>
      </c>
      <c r="G133">
        <f t="shared" si="9"/>
        <v>1.59412553691487E-4</v>
      </c>
    </row>
    <row r="134" spans="1:7" x14ac:dyDescent="0.3">
      <c r="A134">
        <v>127</v>
      </c>
      <c r="B134">
        <v>1.4734855335914576</v>
      </c>
      <c r="C134">
        <f t="shared" si="5"/>
        <v>36.5</v>
      </c>
      <c r="D134">
        <f t="shared" si="6"/>
        <v>-1.2625868433160825E-2</v>
      </c>
      <c r="E134">
        <f t="shared" si="7"/>
        <v>-0.46084419781037012</v>
      </c>
      <c r="F134">
        <f t="shared" si="8"/>
        <v>1332.25</v>
      </c>
      <c r="G134">
        <f t="shared" si="9"/>
        <v>1.59412553691487E-4</v>
      </c>
    </row>
    <row r="135" spans="1:7" x14ac:dyDescent="0.3">
      <c r="A135">
        <v>128</v>
      </c>
      <c r="B135">
        <v>1.4726849905409976</v>
      </c>
      <c r="C135">
        <f t="shared" si="5"/>
        <v>37.5</v>
      </c>
      <c r="D135">
        <f t="shared" si="6"/>
        <v>-1.3426411483620893E-2</v>
      </c>
      <c r="E135">
        <f t="shared" si="7"/>
        <v>-0.50349043063578347</v>
      </c>
      <c r="F135">
        <f t="shared" si="8"/>
        <v>1406.25</v>
      </c>
      <c r="G135">
        <f t="shared" si="9"/>
        <v>1.8026852532750698E-4</v>
      </c>
    </row>
    <row r="136" spans="1:7" x14ac:dyDescent="0.3">
      <c r="A136">
        <v>129</v>
      </c>
      <c r="B136">
        <v>1.4726849905409976</v>
      </c>
      <c r="C136">
        <f t="shared" si="5"/>
        <v>38.5</v>
      </c>
      <c r="D136">
        <f t="shared" si="6"/>
        <v>-1.3426411483620893E-2</v>
      </c>
      <c r="E136">
        <f t="shared" si="7"/>
        <v>-0.51691684211940436</v>
      </c>
      <c r="F136">
        <f t="shared" si="8"/>
        <v>1482.25</v>
      </c>
      <c r="G136">
        <f t="shared" si="9"/>
        <v>1.8026852532750698E-4</v>
      </c>
    </row>
    <row r="137" spans="1:7" x14ac:dyDescent="0.3">
      <c r="A137">
        <v>130</v>
      </c>
      <c r="B137">
        <v>1.4726849905409976</v>
      </c>
      <c r="C137">
        <f t="shared" ref="C137:C187" si="10">A137-$A$6</f>
        <v>39.5</v>
      </c>
      <c r="D137">
        <f t="shared" ref="D137:D187" si="11">B137-$B$6</f>
        <v>-1.3426411483620893E-2</v>
      </c>
      <c r="E137">
        <f t="shared" ref="E137:E187" si="12">D137*C137</f>
        <v>-0.53034325360302526</v>
      </c>
      <c r="F137">
        <f t="shared" ref="F137:F187" si="13">C137*C137</f>
        <v>1560.25</v>
      </c>
      <c r="G137">
        <f t="shared" ref="G137:G187" si="14">D137*D137</f>
        <v>1.8026852532750698E-4</v>
      </c>
    </row>
    <row r="138" spans="1:7" x14ac:dyDescent="0.3">
      <c r="A138">
        <v>131</v>
      </c>
      <c r="B138">
        <v>1.4718859204316646</v>
      </c>
      <c r="C138">
        <f t="shared" si="10"/>
        <v>40.5</v>
      </c>
      <c r="D138">
        <f t="shared" si="11"/>
        <v>-1.4225481592953892E-2</v>
      </c>
      <c r="E138">
        <f t="shared" si="12"/>
        <v>-0.57613200451463265</v>
      </c>
      <c r="F138">
        <f t="shared" si="13"/>
        <v>1640.25</v>
      </c>
      <c r="G138">
        <f t="shared" si="14"/>
        <v>2.0236432655147002E-4</v>
      </c>
    </row>
    <row r="139" spans="1:7" x14ac:dyDescent="0.3">
      <c r="A139">
        <v>132</v>
      </c>
      <c r="B139">
        <v>1.4718859204316646</v>
      </c>
      <c r="C139">
        <f t="shared" si="10"/>
        <v>41.5</v>
      </c>
      <c r="D139">
        <f t="shared" si="11"/>
        <v>-1.4225481592953892E-2</v>
      </c>
      <c r="E139">
        <f t="shared" si="12"/>
        <v>-0.59035748610758654</v>
      </c>
      <c r="F139">
        <f t="shared" si="13"/>
        <v>1722.25</v>
      </c>
      <c r="G139">
        <f t="shared" si="14"/>
        <v>2.0236432655147002E-4</v>
      </c>
    </row>
    <row r="140" spans="1:7" x14ac:dyDescent="0.3">
      <c r="A140">
        <v>133</v>
      </c>
      <c r="B140">
        <v>1.4710883178532022</v>
      </c>
      <c r="C140">
        <f t="shared" si="10"/>
        <v>42.5</v>
      </c>
      <c r="D140">
        <f t="shared" si="11"/>
        <v>-1.502308417141629E-2</v>
      </c>
      <c r="E140">
        <f t="shared" si="12"/>
        <v>-0.63848107728519232</v>
      </c>
      <c r="F140">
        <f t="shared" si="13"/>
        <v>1806.25</v>
      </c>
      <c r="G140">
        <f t="shared" si="14"/>
        <v>2.2569305802145869E-4</v>
      </c>
    </row>
    <row r="141" spans="1:7" x14ac:dyDescent="0.3">
      <c r="A141">
        <v>134</v>
      </c>
      <c r="B141">
        <v>1.4710883178532022</v>
      </c>
      <c r="C141">
        <f t="shared" si="10"/>
        <v>43.5</v>
      </c>
      <c r="D141">
        <f t="shared" si="11"/>
        <v>-1.502308417141629E-2</v>
      </c>
      <c r="E141">
        <f t="shared" si="12"/>
        <v>-0.65350416145660861</v>
      </c>
      <c r="F141">
        <f t="shared" si="13"/>
        <v>1892.25</v>
      </c>
      <c r="G141">
        <f t="shared" si="14"/>
        <v>2.2569305802145869E-4</v>
      </c>
    </row>
    <row r="142" spans="1:7" x14ac:dyDescent="0.3">
      <c r="A142">
        <v>135</v>
      </c>
      <c r="B142">
        <v>1.4702921774251074</v>
      </c>
      <c r="C142">
        <f t="shared" si="10"/>
        <v>44.5</v>
      </c>
      <c r="D142">
        <f t="shared" si="11"/>
        <v>-1.5819224599511017E-2</v>
      </c>
      <c r="E142">
        <f t="shared" si="12"/>
        <v>-0.70395549467824026</v>
      </c>
      <c r="F142">
        <f t="shared" si="13"/>
        <v>1980.25</v>
      </c>
      <c r="G142">
        <f t="shared" si="14"/>
        <v>2.5024786692977449E-4</v>
      </c>
    </row>
    <row r="143" spans="1:7" x14ac:dyDescent="0.3">
      <c r="A143">
        <v>136</v>
      </c>
      <c r="B143">
        <v>1.4702921774251074</v>
      </c>
      <c r="C143">
        <f t="shared" si="10"/>
        <v>45.5</v>
      </c>
      <c r="D143">
        <f t="shared" si="11"/>
        <v>-1.5819224599511017E-2</v>
      </c>
      <c r="E143">
        <f t="shared" si="12"/>
        <v>-0.71977471927775127</v>
      </c>
      <c r="F143">
        <f t="shared" si="13"/>
        <v>2070.25</v>
      </c>
      <c r="G143">
        <f t="shared" si="14"/>
        <v>2.5024786692977449E-4</v>
      </c>
    </row>
    <row r="144" spans="1:7" x14ac:dyDescent="0.3">
      <c r="A144">
        <v>137</v>
      </c>
      <c r="B144">
        <v>1.4694974937964138</v>
      </c>
      <c r="C144">
        <f t="shared" si="10"/>
        <v>46.5</v>
      </c>
      <c r="D144">
        <f t="shared" si="11"/>
        <v>-1.6613908228204632E-2</v>
      </c>
      <c r="E144">
        <f t="shared" si="12"/>
        <v>-0.77254673261151541</v>
      </c>
      <c r="F144">
        <f t="shared" si="13"/>
        <v>2162.25</v>
      </c>
      <c r="G144">
        <f t="shared" si="14"/>
        <v>2.7602194661520559E-4</v>
      </c>
    </row>
    <row r="145" spans="1:7" x14ac:dyDescent="0.3">
      <c r="A145">
        <v>138</v>
      </c>
      <c r="B145">
        <v>1.4694974937964138</v>
      </c>
      <c r="C145">
        <f t="shared" si="10"/>
        <v>47.5</v>
      </c>
      <c r="D145">
        <f t="shared" si="11"/>
        <v>-1.6613908228204632E-2</v>
      </c>
      <c r="E145">
        <f t="shared" si="12"/>
        <v>-0.78916064083972004</v>
      </c>
      <c r="F145">
        <f t="shared" si="13"/>
        <v>2256.25</v>
      </c>
      <c r="G145">
        <f t="shared" si="14"/>
        <v>2.7602194661520559E-4</v>
      </c>
    </row>
    <row r="146" spans="1:7" x14ac:dyDescent="0.3">
      <c r="A146">
        <v>139</v>
      </c>
      <c r="B146">
        <v>1.4687042616454755</v>
      </c>
      <c r="C146">
        <f t="shared" si="10"/>
        <v>48.5</v>
      </c>
      <c r="D146">
        <f t="shared" si="11"/>
        <v>-1.7407140379142927E-2</v>
      </c>
      <c r="E146">
        <f t="shared" si="12"/>
        <v>-0.84424630838843195</v>
      </c>
      <c r="F146">
        <f t="shared" si="13"/>
        <v>2352.25</v>
      </c>
      <c r="G146">
        <f t="shared" si="14"/>
        <v>3.0300853617918814E-4</v>
      </c>
    </row>
    <row r="147" spans="1:7" x14ac:dyDescent="0.3">
      <c r="A147">
        <v>140</v>
      </c>
      <c r="B147">
        <v>1.4687042616454755</v>
      </c>
      <c r="C147">
        <f t="shared" si="10"/>
        <v>49.5</v>
      </c>
      <c r="D147">
        <f t="shared" si="11"/>
        <v>-1.7407140379142927E-2</v>
      </c>
      <c r="E147">
        <f t="shared" si="12"/>
        <v>-0.86165344876757488</v>
      </c>
      <c r="F147">
        <f t="shared" si="13"/>
        <v>2450.25</v>
      </c>
      <c r="G147">
        <f t="shared" si="14"/>
        <v>3.0300853617918814E-4</v>
      </c>
    </row>
    <row r="148" spans="1:7" x14ac:dyDescent="0.3">
      <c r="A148">
        <v>141</v>
      </c>
      <c r="B148">
        <v>1.4679124756797526</v>
      </c>
      <c r="C148">
        <f t="shared" si="10"/>
        <v>50.5</v>
      </c>
      <c r="D148">
        <f t="shared" si="11"/>
        <v>-1.8198926344865862E-2</v>
      </c>
      <c r="E148">
        <f t="shared" si="12"/>
        <v>-0.91904578041572604</v>
      </c>
      <c r="F148">
        <f t="shared" si="13"/>
        <v>2550.25</v>
      </c>
      <c r="G148">
        <f t="shared" si="14"/>
        <v>3.3120092010585276E-4</v>
      </c>
    </row>
    <row r="149" spans="1:7" x14ac:dyDescent="0.3">
      <c r="A149">
        <v>142</v>
      </c>
      <c r="B149">
        <v>1.4679124756797526</v>
      </c>
      <c r="C149">
        <f t="shared" si="10"/>
        <v>51.5</v>
      </c>
      <c r="D149">
        <f t="shared" si="11"/>
        <v>-1.8198926344865862E-2</v>
      </c>
      <c r="E149">
        <f t="shared" si="12"/>
        <v>-0.93724470676059191</v>
      </c>
      <c r="F149">
        <f t="shared" si="13"/>
        <v>2652.25</v>
      </c>
      <c r="G149">
        <f t="shared" si="14"/>
        <v>3.3120092010585276E-4</v>
      </c>
    </row>
    <row r="150" spans="1:7" x14ac:dyDescent="0.3">
      <c r="A150">
        <v>143</v>
      </c>
      <c r="B150">
        <v>1.4671221306356008</v>
      </c>
      <c r="C150">
        <f t="shared" si="10"/>
        <v>52.5</v>
      </c>
      <c r="D150">
        <f t="shared" si="11"/>
        <v>-1.8989271389017626E-2</v>
      </c>
      <c r="E150">
        <f t="shared" si="12"/>
        <v>-0.99693674792342535</v>
      </c>
      <c r="F150">
        <f t="shared" si="13"/>
        <v>2756.25</v>
      </c>
      <c r="G150">
        <f t="shared" si="14"/>
        <v>3.6059242788576341E-4</v>
      </c>
    </row>
    <row r="151" spans="1:7" x14ac:dyDescent="0.3">
      <c r="A151">
        <v>144</v>
      </c>
      <c r="B151">
        <v>1.4671221306356008</v>
      </c>
      <c r="C151">
        <f t="shared" si="10"/>
        <v>53.5</v>
      </c>
      <c r="D151">
        <f t="shared" si="11"/>
        <v>-1.8989271389017626E-2</v>
      </c>
      <c r="E151">
        <f t="shared" si="12"/>
        <v>-1.0159260193124431</v>
      </c>
      <c r="F151">
        <f t="shared" si="13"/>
        <v>2862.25</v>
      </c>
      <c r="G151">
        <f t="shared" si="14"/>
        <v>3.6059242788576341E-4</v>
      </c>
    </row>
    <row r="152" spans="1:7" x14ac:dyDescent="0.3">
      <c r="A152">
        <v>145</v>
      </c>
      <c r="B152">
        <v>1.4663332212780595</v>
      </c>
      <c r="C152">
        <f t="shared" si="10"/>
        <v>54.5</v>
      </c>
      <c r="D152">
        <f t="shared" si="11"/>
        <v>-1.9778180746558904E-2</v>
      </c>
      <c r="E152">
        <f t="shared" si="12"/>
        <v>-1.0779108506874602</v>
      </c>
      <c r="F152">
        <f t="shared" si="13"/>
        <v>2970.25</v>
      </c>
      <c r="G152">
        <f t="shared" si="14"/>
        <v>3.9117643364355333E-4</v>
      </c>
    </row>
    <row r="153" spans="1:7" x14ac:dyDescent="0.3">
      <c r="A153">
        <v>146</v>
      </c>
      <c r="B153">
        <v>1.4663332212780595</v>
      </c>
      <c r="C153">
        <f t="shared" si="10"/>
        <v>55.5</v>
      </c>
      <c r="D153">
        <f t="shared" si="11"/>
        <v>-1.9778180746558904E-2</v>
      </c>
      <c r="E153">
        <f t="shared" si="12"/>
        <v>-1.0976890314340193</v>
      </c>
      <c r="F153">
        <f t="shared" si="13"/>
        <v>3080.25</v>
      </c>
      <c r="G153">
        <f t="shared" si="14"/>
        <v>3.9117643364355333E-4</v>
      </c>
    </row>
    <row r="154" spans="1:7" x14ac:dyDescent="0.3">
      <c r="A154">
        <v>147</v>
      </c>
      <c r="B154">
        <v>1.4655457424006457</v>
      </c>
      <c r="C154">
        <f t="shared" si="10"/>
        <v>56.5</v>
      </c>
      <c r="D154">
        <f t="shared" si="11"/>
        <v>-2.0565659623972721E-2</v>
      </c>
      <c r="E154">
        <f t="shared" si="12"/>
        <v>-1.1619597687544587</v>
      </c>
      <c r="F154">
        <f t="shared" si="13"/>
        <v>3192.25</v>
      </c>
      <c r="G154">
        <f t="shared" si="14"/>
        <v>4.2294635576910179E-4</v>
      </c>
    </row>
    <row r="155" spans="1:7" x14ac:dyDescent="0.3">
      <c r="A155">
        <v>148</v>
      </c>
      <c r="B155">
        <v>1.4655457424006457</v>
      </c>
      <c r="C155">
        <f t="shared" si="10"/>
        <v>57.5</v>
      </c>
      <c r="D155">
        <f t="shared" si="11"/>
        <v>-2.0565659623972721E-2</v>
      </c>
      <c r="E155">
        <f t="shared" si="12"/>
        <v>-1.1825254283784314</v>
      </c>
      <c r="F155">
        <f t="shared" si="13"/>
        <v>3306.25</v>
      </c>
      <c r="G155">
        <f t="shared" si="14"/>
        <v>4.2294635576910179E-4</v>
      </c>
    </row>
    <row r="156" spans="1:7" x14ac:dyDescent="0.3">
      <c r="A156">
        <v>149</v>
      </c>
      <c r="B156">
        <v>1.4655457424006457</v>
      </c>
      <c r="C156">
        <f t="shared" si="10"/>
        <v>58.5</v>
      </c>
      <c r="D156">
        <f t="shared" si="11"/>
        <v>-2.0565659623972721E-2</v>
      </c>
      <c r="E156">
        <f t="shared" si="12"/>
        <v>-1.2030910880024042</v>
      </c>
      <c r="F156">
        <f t="shared" si="13"/>
        <v>3422.25</v>
      </c>
      <c r="G156">
        <f t="shared" si="14"/>
        <v>4.2294635576910179E-4</v>
      </c>
    </row>
    <row r="157" spans="1:7" x14ac:dyDescent="0.3">
      <c r="A157">
        <v>150</v>
      </c>
      <c r="B157">
        <v>1.4647596888251462</v>
      </c>
      <c r="C157">
        <f t="shared" si="10"/>
        <v>59.5</v>
      </c>
      <c r="D157">
        <f t="shared" si="11"/>
        <v>-2.1351713199472266E-2</v>
      </c>
      <c r="E157">
        <f t="shared" si="12"/>
        <v>-1.2704269353686</v>
      </c>
      <c r="F157">
        <f t="shared" si="13"/>
        <v>3540.25</v>
      </c>
      <c r="G157">
        <f t="shared" si="14"/>
        <v>4.5589565655251819E-4</v>
      </c>
    </row>
    <row r="158" spans="1:7" x14ac:dyDescent="0.3">
      <c r="A158">
        <v>151</v>
      </c>
      <c r="B158">
        <v>1.4647596888251462</v>
      </c>
      <c r="C158">
        <f t="shared" si="10"/>
        <v>60.5</v>
      </c>
      <c r="D158">
        <f t="shared" si="11"/>
        <v>-2.1351713199472266E-2</v>
      </c>
      <c r="E158">
        <f t="shared" si="12"/>
        <v>-1.291778648568072</v>
      </c>
      <c r="F158">
        <f t="shared" si="13"/>
        <v>3660.25</v>
      </c>
      <c r="G158">
        <f t="shared" si="14"/>
        <v>4.5589565655251819E-4</v>
      </c>
    </row>
    <row r="159" spans="1:7" x14ac:dyDescent="0.3">
      <c r="A159">
        <v>152</v>
      </c>
      <c r="B159">
        <v>1.4647596888251462</v>
      </c>
      <c r="C159">
        <f t="shared" si="10"/>
        <v>61.5</v>
      </c>
      <c r="D159">
        <f t="shared" si="11"/>
        <v>-2.1351713199472266E-2</v>
      </c>
      <c r="E159">
        <f t="shared" si="12"/>
        <v>-1.3131303617675445</v>
      </c>
      <c r="F159">
        <f t="shared" si="13"/>
        <v>3782.25</v>
      </c>
      <c r="G159">
        <f t="shared" si="14"/>
        <v>4.5589565655251819E-4</v>
      </c>
    </row>
    <row r="160" spans="1:7" x14ac:dyDescent="0.3">
      <c r="A160">
        <v>153</v>
      </c>
      <c r="B160">
        <v>1.4639750554014148</v>
      </c>
      <c r="C160">
        <f t="shared" si="10"/>
        <v>62.5</v>
      </c>
      <c r="D160">
        <f t="shared" si="11"/>
        <v>-2.2136346623203629E-2</v>
      </c>
      <c r="E160">
        <f t="shared" si="12"/>
        <v>-1.3835216639502268</v>
      </c>
      <c r="F160">
        <f t="shared" si="13"/>
        <v>3906.25</v>
      </c>
      <c r="G160">
        <f t="shared" si="14"/>
        <v>4.900178418226187E-4</v>
      </c>
    </row>
    <row r="161" spans="1:7" x14ac:dyDescent="0.3">
      <c r="A161">
        <v>154</v>
      </c>
      <c r="B161">
        <v>1.4639750554014148</v>
      </c>
      <c r="C161">
        <f t="shared" si="10"/>
        <v>63.5</v>
      </c>
      <c r="D161">
        <f t="shared" si="11"/>
        <v>-2.2136346623203629E-2</v>
      </c>
      <c r="E161">
        <f t="shared" si="12"/>
        <v>-1.4056580105734304</v>
      </c>
      <c r="F161">
        <f t="shared" si="13"/>
        <v>4032.25</v>
      </c>
      <c r="G161">
        <f t="shared" si="14"/>
        <v>4.900178418226187E-4</v>
      </c>
    </row>
    <row r="162" spans="1:7" x14ac:dyDescent="0.3">
      <c r="A162">
        <v>155</v>
      </c>
      <c r="B162">
        <v>1.4631918370071682</v>
      </c>
      <c r="C162">
        <f t="shared" si="10"/>
        <v>64.5</v>
      </c>
      <c r="D162">
        <f t="shared" si="11"/>
        <v>-2.2919565017450294E-2</v>
      </c>
      <c r="E162">
        <f t="shared" si="12"/>
        <v>-1.4783119436255441</v>
      </c>
      <c r="F162">
        <f t="shared" si="13"/>
        <v>4160.25</v>
      </c>
      <c r="G162">
        <f t="shared" si="14"/>
        <v>5.253064605891313E-4</v>
      </c>
    </row>
    <row r="163" spans="1:7" x14ac:dyDescent="0.3">
      <c r="A163">
        <v>156</v>
      </c>
      <c r="B163">
        <v>1.4631918370071682</v>
      </c>
      <c r="C163">
        <f t="shared" si="10"/>
        <v>65.5</v>
      </c>
      <c r="D163">
        <f t="shared" si="11"/>
        <v>-2.2919565017450294E-2</v>
      </c>
      <c r="E163">
        <f t="shared" si="12"/>
        <v>-1.5012315086429942</v>
      </c>
      <c r="F163">
        <f t="shared" si="13"/>
        <v>4290.25</v>
      </c>
      <c r="G163">
        <f t="shared" si="14"/>
        <v>5.253064605891313E-4</v>
      </c>
    </row>
    <row r="164" spans="1:7" x14ac:dyDescent="0.3">
      <c r="A164">
        <v>157</v>
      </c>
      <c r="B164">
        <v>1.4631918370071682</v>
      </c>
      <c r="C164">
        <f t="shared" si="10"/>
        <v>66.5</v>
      </c>
      <c r="D164">
        <f t="shared" si="11"/>
        <v>-2.2919565017450294E-2</v>
      </c>
      <c r="E164">
        <f t="shared" si="12"/>
        <v>-1.5241510736604447</v>
      </c>
      <c r="F164">
        <f t="shared" si="13"/>
        <v>4422.25</v>
      </c>
      <c r="G164">
        <f t="shared" si="14"/>
        <v>5.253064605891313E-4</v>
      </c>
    </row>
    <row r="165" spans="1:7" x14ac:dyDescent="0.3">
      <c r="A165">
        <v>158</v>
      </c>
      <c r="B165">
        <v>1.462410028547787</v>
      </c>
      <c r="C165">
        <f t="shared" si="10"/>
        <v>67.5</v>
      </c>
      <c r="D165">
        <f t="shared" si="11"/>
        <v>-2.3701373476831433E-2</v>
      </c>
      <c r="E165">
        <f t="shared" si="12"/>
        <v>-1.5998427096861216</v>
      </c>
      <c r="F165">
        <f t="shared" si="13"/>
        <v>4556.25</v>
      </c>
      <c r="G165">
        <f t="shared" si="14"/>
        <v>5.6175510468824857E-4</v>
      </c>
    </row>
    <row r="166" spans="1:7" x14ac:dyDescent="0.3">
      <c r="A166">
        <v>159</v>
      </c>
      <c r="B166">
        <v>1.462410028547787</v>
      </c>
      <c r="C166">
        <f t="shared" si="10"/>
        <v>68.5</v>
      </c>
      <c r="D166">
        <f t="shared" si="11"/>
        <v>-2.3701373476831433E-2</v>
      </c>
      <c r="E166">
        <f t="shared" si="12"/>
        <v>-1.6235440831629533</v>
      </c>
      <c r="F166">
        <f t="shared" si="13"/>
        <v>4692.25</v>
      </c>
      <c r="G166">
        <f t="shared" si="14"/>
        <v>5.6175510468824857E-4</v>
      </c>
    </row>
    <row r="167" spans="1:7" x14ac:dyDescent="0.3">
      <c r="A167">
        <v>160</v>
      </c>
      <c r="B167">
        <v>1.4616296249561156</v>
      </c>
      <c r="C167">
        <f t="shared" si="10"/>
        <v>69.5</v>
      </c>
      <c r="D167">
        <f t="shared" si="11"/>
        <v>-2.4481777068502852E-2</v>
      </c>
      <c r="E167">
        <f t="shared" si="12"/>
        <v>-1.7014835062609484</v>
      </c>
      <c r="F167">
        <f t="shared" si="13"/>
        <v>4830.25</v>
      </c>
      <c r="G167">
        <f t="shared" si="14"/>
        <v>5.9935740843187211E-4</v>
      </c>
    </row>
    <row r="168" spans="1:7" x14ac:dyDescent="0.3">
      <c r="A168">
        <v>161</v>
      </c>
      <c r="B168">
        <v>1.4616296249561156</v>
      </c>
      <c r="C168">
        <f t="shared" si="10"/>
        <v>70.5</v>
      </c>
      <c r="D168">
        <f t="shared" si="11"/>
        <v>-2.4481777068502852E-2</v>
      </c>
      <c r="E168">
        <f t="shared" si="12"/>
        <v>-1.725965283329451</v>
      </c>
      <c r="F168">
        <f t="shared" si="13"/>
        <v>4970.25</v>
      </c>
      <c r="G168">
        <f t="shared" si="14"/>
        <v>5.9935740843187211E-4</v>
      </c>
    </row>
    <row r="169" spans="1:7" x14ac:dyDescent="0.3">
      <c r="A169">
        <v>162</v>
      </c>
      <c r="B169">
        <v>1.4616296249561156</v>
      </c>
      <c r="C169">
        <f t="shared" si="10"/>
        <v>71.5</v>
      </c>
      <c r="D169">
        <f t="shared" si="11"/>
        <v>-2.4481777068502852E-2</v>
      </c>
      <c r="E169">
        <f t="shared" si="12"/>
        <v>-1.7504470603979541</v>
      </c>
      <c r="F169">
        <f t="shared" si="13"/>
        <v>5112.25</v>
      </c>
      <c r="G169">
        <f t="shared" si="14"/>
        <v>5.9935740843187211E-4</v>
      </c>
    </row>
    <row r="170" spans="1:7" x14ac:dyDescent="0.3">
      <c r="A170">
        <v>163</v>
      </c>
      <c r="B170">
        <v>1.4608506211922658</v>
      </c>
      <c r="C170">
        <f t="shared" si="10"/>
        <v>72.5</v>
      </c>
      <c r="D170">
        <f t="shared" si="11"/>
        <v>-2.5260780832352614E-2</v>
      </c>
      <c r="E170">
        <f t="shared" si="12"/>
        <v>-1.8314066103455646</v>
      </c>
      <c r="F170">
        <f t="shared" si="13"/>
        <v>5256.25</v>
      </c>
      <c r="G170">
        <f t="shared" si="14"/>
        <v>6.3810704826015321E-4</v>
      </c>
    </row>
    <row r="171" spans="1:7" x14ac:dyDescent="0.3">
      <c r="A171">
        <v>164</v>
      </c>
      <c r="B171">
        <v>1.4608506211922658</v>
      </c>
      <c r="C171">
        <f t="shared" si="10"/>
        <v>73.5</v>
      </c>
      <c r="D171">
        <f t="shared" si="11"/>
        <v>-2.5260780832352614E-2</v>
      </c>
      <c r="E171">
        <f t="shared" si="12"/>
        <v>-1.856667391177917</v>
      </c>
      <c r="F171">
        <f t="shared" si="13"/>
        <v>5402.25</v>
      </c>
      <c r="G171">
        <f t="shared" si="14"/>
        <v>6.3810704826015321E-4</v>
      </c>
    </row>
    <row r="172" spans="1:7" x14ac:dyDescent="0.3">
      <c r="A172">
        <v>165</v>
      </c>
      <c r="B172">
        <v>1.4600730122434211</v>
      </c>
      <c r="C172">
        <f t="shared" si="10"/>
        <v>74.5</v>
      </c>
      <c r="D172">
        <f t="shared" si="11"/>
        <v>-2.6038389781197324E-2</v>
      </c>
      <c r="E172">
        <f t="shared" si="12"/>
        <v>-1.9398600386992007</v>
      </c>
      <c r="F172">
        <f t="shared" si="13"/>
        <v>5550.25</v>
      </c>
      <c r="G172">
        <f t="shared" si="14"/>
        <v>6.7799774239756124E-4</v>
      </c>
    </row>
    <row r="173" spans="1:7" x14ac:dyDescent="0.3">
      <c r="A173">
        <v>166</v>
      </c>
      <c r="B173">
        <v>1.4600730122434211</v>
      </c>
      <c r="C173">
        <f t="shared" si="10"/>
        <v>75.5</v>
      </c>
      <c r="D173">
        <f t="shared" si="11"/>
        <v>-2.6038389781197324E-2</v>
      </c>
      <c r="E173">
        <f t="shared" si="12"/>
        <v>-1.965898428480398</v>
      </c>
      <c r="F173">
        <f t="shared" si="13"/>
        <v>5700.25</v>
      </c>
      <c r="G173">
        <f t="shared" si="14"/>
        <v>6.7799774239756124E-4</v>
      </c>
    </row>
    <row r="174" spans="1:7" x14ac:dyDescent="0.3">
      <c r="A174">
        <v>167</v>
      </c>
      <c r="B174">
        <v>1.4600730122434211</v>
      </c>
      <c r="C174">
        <f t="shared" si="10"/>
        <v>76.5</v>
      </c>
      <c r="D174">
        <f t="shared" si="11"/>
        <v>-2.6038389781197324E-2</v>
      </c>
      <c r="E174">
        <f t="shared" si="12"/>
        <v>-1.9919368182615953</v>
      </c>
      <c r="F174">
        <f t="shared" si="13"/>
        <v>5852.25</v>
      </c>
      <c r="G174">
        <f t="shared" si="14"/>
        <v>6.7799774239756124E-4</v>
      </c>
    </row>
    <row r="175" spans="1:7" x14ac:dyDescent="0.3">
      <c r="A175">
        <v>168</v>
      </c>
      <c r="B175">
        <v>1.4592967931236442</v>
      </c>
      <c r="C175">
        <f t="shared" si="10"/>
        <v>77.5</v>
      </c>
      <c r="D175">
        <f t="shared" si="11"/>
        <v>-2.6814608900974202E-2</v>
      </c>
      <c r="E175">
        <f t="shared" si="12"/>
        <v>-2.0781321898255007</v>
      </c>
      <c r="F175">
        <f t="shared" si="13"/>
        <v>6006.25</v>
      </c>
      <c r="G175">
        <f t="shared" si="14"/>
        <v>7.190232505122049E-4</v>
      </c>
    </row>
    <row r="176" spans="1:7" x14ac:dyDescent="0.3">
      <c r="A176">
        <v>169</v>
      </c>
      <c r="B176">
        <v>1.4592967931236442</v>
      </c>
      <c r="C176">
        <f t="shared" si="10"/>
        <v>78.5</v>
      </c>
      <c r="D176">
        <f t="shared" si="11"/>
        <v>-2.6814608900974202E-2</v>
      </c>
      <c r="E176">
        <f t="shared" si="12"/>
        <v>-2.1049467987264747</v>
      </c>
      <c r="F176">
        <f t="shared" si="13"/>
        <v>6162.25</v>
      </c>
      <c r="G176">
        <f t="shared" si="14"/>
        <v>7.190232505122049E-4</v>
      </c>
    </row>
    <row r="177" spans="1:7" x14ac:dyDescent="0.3">
      <c r="A177">
        <v>170</v>
      </c>
      <c r="B177">
        <v>1.4585219588736831</v>
      </c>
      <c r="C177">
        <f t="shared" si="10"/>
        <v>79.5</v>
      </c>
      <c r="D177">
        <f t="shared" si="11"/>
        <v>-2.7589443150935367E-2</v>
      </c>
      <c r="E177">
        <f t="shared" si="12"/>
        <v>-2.1933607304993616</v>
      </c>
      <c r="F177">
        <f t="shared" si="13"/>
        <v>6320.25</v>
      </c>
      <c r="G177">
        <f t="shared" si="14"/>
        <v>7.6117737337869442E-4</v>
      </c>
    </row>
    <row r="178" spans="1:7" x14ac:dyDescent="0.3">
      <c r="A178">
        <v>171</v>
      </c>
      <c r="B178">
        <v>1.4585219588736831</v>
      </c>
      <c r="C178">
        <f t="shared" si="10"/>
        <v>80.5</v>
      </c>
      <c r="D178">
        <f t="shared" si="11"/>
        <v>-2.7589443150935367E-2</v>
      </c>
      <c r="E178">
        <f t="shared" si="12"/>
        <v>-2.220950173650297</v>
      </c>
      <c r="F178">
        <f t="shared" si="13"/>
        <v>6480.25</v>
      </c>
      <c r="G178">
        <f t="shared" si="14"/>
        <v>7.6117737337869442E-4</v>
      </c>
    </row>
    <row r="179" spans="1:7" x14ac:dyDescent="0.3">
      <c r="A179">
        <v>172</v>
      </c>
      <c r="B179">
        <v>1.4585219588736831</v>
      </c>
      <c r="C179">
        <f t="shared" si="10"/>
        <v>81.5</v>
      </c>
      <c r="D179">
        <f t="shared" si="11"/>
        <v>-2.7589443150935367E-2</v>
      </c>
      <c r="E179">
        <f t="shared" si="12"/>
        <v>-2.2485396168012324</v>
      </c>
      <c r="F179">
        <f t="shared" si="13"/>
        <v>6642.25</v>
      </c>
      <c r="G179">
        <f t="shared" si="14"/>
        <v>7.6117737337869442E-4</v>
      </c>
    </row>
    <row r="180" spans="1:7" x14ac:dyDescent="0.3">
      <c r="A180">
        <v>173</v>
      </c>
      <c r="B180">
        <v>1.4577485045607834</v>
      </c>
      <c r="C180">
        <f t="shared" si="10"/>
        <v>82.5</v>
      </c>
      <c r="D180">
        <f t="shared" si="11"/>
        <v>-2.8362897463835024E-2</v>
      </c>
      <c r="E180">
        <f t="shared" si="12"/>
        <v>-2.3399390407663896</v>
      </c>
      <c r="F180">
        <f t="shared" si="13"/>
        <v>6806.25</v>
      </c>
      <c r="G180">
        <f t="shared" si="14"/>
        <v>8.0445395254401925E-4</v>
      </c>
    </row>
    <row r="181" spans="1:7" x14ac:dyDescent="0.3">
      <c r="A181">
        <v>174</v>
      </c>
      <c r="B181">
        <v>1.4577485045607834</v>
      </c>
      <c r="C181">
        <f t="shared" si="10"/>
        <v>83.5</v>
      </c>
      <c r="D181">
        <f t="shared" si="11"/>
        <v>-2.8362897463835024E-2</v>
      </c>
      <c r="E181">
        <f t="shared" si="12"/>
        <v>-2.3683019382302244</v>
      </c>
      <c r="F181">
        <f t="shared" si="13"/>
        <v>6972.25</v>
      </c>
      <c r="G181">
        <f t="shared" si="14"/>
        <v>8.0445395254401925E-4</v>
      </c>
    </row>
    <row r="182" spans="1:7" x14ac:dyDescent="0.3">
      <c r="A182">
        <v>175</v>
      </c>
      <c r="B182">
        <v>1.4569764252784982</v>
      </c>
      <c r="C182">
        <f t="shared" si="10"/>
        <v>84.5</v>
      </c>
      <c r="D182">
        <f t="shared" si="11"/>
        <v>-2.91349767461202E-2</v>
      </c>
      <c r="E182">
        <f t="shared" si="12"/>
        <v>-2.461905535047157</v>
      </c>
      <c r="F182">
        <f t="shared" si="13"/>
        <v>7140.25</v>
      </c>
      <c r="G182">
        <f t="shared" si="14"/>
        <v>8.4884686999696477E-4</v>
      </c>
    </row>
    <row r="183" spans="1:7" x14ac:dyDescent="0.3">
      <c r="A183">
        <v>176</v>
      </c>
      <c r="B183">
        <v>1.4569764252784982</v>
      </c>
      <c r="C183">
        <f t="shared" si="10"/>
        <v>85.5</v>
      </c>
      <c r="D183">
        <f t="shared" si="11"/>
        <v>-2.91349767461202E-2</v>
      </c>
      <c r="E183">
        <f t="shared" si="12"/>
        <v>-2.491040511793277</v>
      </c>
      <c r="F183">
        <f t="shared" si="13"/>
        <v>7310.25</v>
      </c>
      <c r="G183">
        <f t="shared" si="14"/>
        <v>8.4884686999696477E-4</v>
      </c>
    </row>
    <row r="184" spans="1:7" x14ac:dyDescent="0.3">
      <c r="A184">
        <v>177</v>
      </c>
      <c r="B184">
        <v>1.4569764252784982</v>
      </c>
      <c r="C184">
        <f t="shared" si="10"/>
        <v>86.5</v>
      </c>
      <c r="D184">
        <f t="shared" si="11"/>
        <v>-2.91349767461202E-2</v>
      </c>
      <c r="E184">
        <f t="shared" si="12"/>
        <v>-2.5201754885393974</v>
      </c>
      <c r="F184">
        <f t="shared" si="13"/>
        <v>7482.25</v>
      </c>
      <c r="G184">
        <f t="shared" si="14"/>
        <v>8.4884686999696477E-4</v>
      </c>
    </row>
    <row r="185" spans="1:7" x14ac:dyDescent="0.3">
      <c r="A185">
        <v>178</v>
      </c>
      <c r="B185">
        <v>1.4562057161465023</v>
      </c>
      <c r="C185">
        <f t="shared" si="10"/>
        <v>87.5</v>
      </c>
      <c r="D185">
        <f t="shared" si="11"/>
        <v>-2.9905685878116151E-2</v>
      </c>
      <c r="E185">
        <f t="shared" si="12"/>
        <v>-2.6167475143351631</v>
      </c>
      <c r="F185">
        <f t="shared" si="13"/>
        <v>7656.25</v>
      </c>
      <c r="G185">
        <f t="shared" si="14"/>
        <v>8.9435004784055576E-4</v>
      </c>
    </row>
    <row r="186" spans="1:7" x14ac:dyDescent="0.3">
      <c r="A186">
        <v>179</v>
      </c>
      <c r="B186">
        <v>1.455436372310406</v>
      </c>
      <c r="C186">
        <f t="shared" si="10"/>
        <v>88.5</v>
      </c>
      <c r="D186">
        <f t="shared" si="11"/>
        <v>-3.0675029714212432E-2</v>
      </c>
      <c r="E186">
        <f t="shared" si="12"/>
        <v>-2.7147401297078</v>
      </c>
      <c r="F186">
        <f t="shared" si="13"/>
        <v>7832.25</v>
      </c>
      <c r="G186">
        <f t="shared" si="14"/>
        <v>9.4095744796781559E-4</v>
      </c>
    </row>
    <row r="187" spans="1:7" x14ac:dyDescent="0.3">
      <c r="A187">
        <v>180</v>
      </c>
      <c r="B187">
        <v>1.455436372310406</v>
      </c>
      <c r="C187">
        <f t="shared" si="10"/>
        <v>89.5</v>
      </c>
      <c r="D187">
        <f t="shared" si="11"/>
        <v>-3.0675029714212432E-2</v>
      </c>
      <c r="E187">
        <f t="shared" si="12"/>
        <v>-2.7454151594220129</v>
      </c>
      <c r="F187">
        <f t="shared" si="13"/>
        <v>8010.25</v>
      </c>
      <c r="G187">
        <f t="shared" si="14"/>
        <v>9.4095744796781559E-4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C041-5A51-458D-8625-320D8ED7D0EF}">
  <dimension ref="A1:F96"/>
  <sheetViews>
    <sheetView workbookViewId="0">
      <selection activeCell="D20" sqref="D20"/>
    </sheetView>
  </sheetViews>
  <sheetFormatPr defaultRowHeight="14.4" x14ac:dyDescent="0.3"/>
  <cols>
    <col min="1" max="1" width="26" bestFit="1" customWidth="1"/>
    <col min="2" max="2" width="26.44140625" bestFit="1" customWidth="1"/>
    <col min="3" max="3" width="12" customWidth="1"/>
    <col min="4" max="4" width="15.44140625" bestFit="1" customWidth="1"/>
  </cols>
  <sheetData>
    <row r="1" spans="1:6" x14ac:dyDescent="0.3">
      <c r="A1" s="1" t="s">
        <v>31</v>
      </c>
      <c r="B1" s="1"/>
    </row>
    <row r="2" spans="1:6" x14ac:dyDescent="0.3">
      <c r="A2" s="2" t="s">
        <v>8</v>
      </c>
      <c r="B2" s="3" t="s">
        <v>9</v>
      </c>
    </row>
    <row r="3" spans="1:6" x14ac:dyDescent="0.3">
      <c r="A3" s="2" t="s">
        <v>28</v>
      </c>
      <c r="B3" s="3" t="s">
        <v>47</v>
      </c>
      <c r="C3" t="s">
        <v>34</v>
      </c>
    </row>
    <row r="4" spans="1:6" x14ac:dyDescent="0.3">
      <c r="A4" s="2" t="s">
        <v>29</v>
      </c>
      <c r="B4" s="3" t="s">
        <v>30</v>
      </c>
      <c r="C4" t="s">
        <v>35</v>
      </c>
    </row>
    <row r="5" spans="1:6" x14ac:dyDescent="0.3">
      <c r="A5" s="1"/>
    </row>
    <row r="6" spans="1:6" x14ac:dyDescent="0.3">
      <c r="A6" s="1" t="s">
        <v>6</v>
      </c>
      <c r="B6" s="1" t="s">
        <v>7</v>
      </c>
      <c r="D6" s="3" t="s">
        <v>32</v>
      </c>
      <c r="E6" s="3" t="s">
        <v>36</v>
      </c>
    </row>
    <row r="7" spans="1:6" x14ac:dyDescent="0.3">
      <c r="A7">
        <v>1</v>
      </c>
      <c r="B7">
        <v>1.485674204917298</v>
      </c>
      <c r="D7" s="3" t="s">
        <v>32</v>
      </c>
      <c r="E7" s="3">
        <f>B96-B7</f>
        <v>3.1614535184032899E-2</v>
      </c>
    </row>
    <row r="8" spans="1:6" x14ac:dyDescent="0.3">
      <c r="A8">
        <v>2</v>
      </c>
      <c r="B8">
        <v>1.4864990759761054</v>
      </c>
      <c r="D8" s="3" t="s">
        <v>33</v>
      </c>
      <c r="E8" s="3">
        <f>E7*16030</f>
        <v>506.78099900004736</v>
      </c>
      <c r="F8" t="s">
        <v>27</v>
      </c>
    </row>
    <row r="9" spans="1:6" x14ac:dyDescent="0.3">
      <c r="A9">
        <v>3</v>
      </c>
      <c r="B9">
        <v>1.4864990759761054</v>
      </c>
    </row>
    <row r="10" spans="1:6" x14ac:dyDescent="0.3">
      <c r="A10">
        <v>4</v>
      </c>
      <c r="B10">
        <v>1.4864990759761054</v>
      </c>
    </row>
    <row r="11" spans="1:6" x14ac:dyDescent="0.3">
      <c r="A11">
        <v>5</v>
      </c>
      <c r="B11">
        <v>1.4873255167238877</v>
      </c>
    </row>
    <row r="12" spans="1:6" x14ac:dyDescent="0.3">
      <c r="A12">
        <v>6</v>
      </c>
      <c r="B12">
        <v>1.4881535331461178</v>
      </c>
    </row>
    <row r="13" spans="1:6" x14ac:dyDescent="0.3">
      <c r="A13">
        <v>7</v>
      </c>
      <c r="B13">
        <v>1.4881535331461178</v>
      </c>
    </row>
    <row r="14" spans="1:6" x14ac:dyDescent="0.3">
      <c r="A14">
        <v>8</v>
      </c>
      <c r="B14">
        <v>1.4881535331461178</v>
      </c>
    </row>
    <row r="15" spans="1:6" x14ac:dyDescent="0.3">
      <c r="A15">
        <v>9</v>
      </c>
      <c r="B15">
        <v>1.4889831312625703</v>
      </c>
    </row>
    <row r="16" spans="1:6" x14ac:dyDescent="0.3">
      <c r="A16">
        <v>10</v>
      </c>
      <c r="B16">
        <v>1.4889831312625703</v>
      </c>
    </row>
    <row r="17" spans="1:2" x14ac:dyDescent="0.3">
      <c r="A17">
        <v>11</v>
      </c>
      <c r="B17">
        <v>1.4889831312625703</v>
      </c>
    </row>
    <row r="18" spans="1:2" x14ac:dyDescent="0.3">
      <c r="A18">
        <v>12</v>
      </c>
      <c r="B18">
        <v>1.4898143171275824</v>
      </c>
    </row>
    <row r="19" spans="1:2" x14ac:dyDescent="0.3">
      <c r="A19">
        <v>13</v>
      </c>
      <c r="B19">
        <v>1.4898143171275824</v>
      </c>
    </row>
    <row r="20" spans="1:2" x14ac:dyDescent="0.3">
      <c r="A20">
        <v>14</v>
      </c>
      <c r="B20">
        <v>1.49064709683032</v>
      </c>
    </row>
    <row r="21" spans="1:2" x14ac:dyDescent="0.3">
      <c r="A21">
        <v>15</v>
      </c>
      <c r="B21">
        <v>1.49064709683032</v>
      </c>
    </row>
    <row r="22" spans="1:2" x14ac:dyDescent="0.3">
      <c r="A22">
        <v>16</v>
      </c>
      <c r="B22">
        <v>1.4914814764950455</v>
      </c>
    </row>
    <row r="23" spans="1:2" x14ac:dyDescent="0.3">
      <c r="A23">
        <v>17</v>
      </c>
      <c r="B23">
        <v>1.4914814764950455</v>
      </c>
    </row>
    <row r="24" spans="1:2" x14ac:dyDescent="0.3">
      <c r="A24">
        <v>18</v>
      </c>
      <c r="B24">
        <v>1.4914814764950455</v>
      </c>
    </row>
    <row r="25" spans="1:2" x14ac:dyDescent="0.3">
      <c r="A25">
        <v>19</v>
      </c>
      <c r="B25">
        <v>1.4923174622813866</v>
      </c>
    </row>
    <row r="26" spans="1:2" x14ac:dyDescent="0.3">
      <c r="A26">
        <v>20</v>
      </c>
      <c r="B26">
        <v>1.4923174622813866</v>
      </c>
    </row>
    <row r="27" spans="1:2" x14ac:dyDescent="0.3">
      <c r="A27">
        <v>21</v>
      </c>
      <c r="B27">
        <v>1.4923174622813866</v>
      </c>
    </row>
    <row r="28" spans="1:2" x14ac:dyDescent="0.3">
      <c r="A28">
        <v>22</v>
      </c>
      <c r="B28">
        <v>1.4931550603846115</v>
      </c>
    </row>
    <row r="29" spans="1:2" x14ac:dyDescent="0.3">
      <c r="A29">
        <v>23</v>
      </c>
      <c r="B29">
        <v>1.4931550603846115</v>
      </c>
    </row>
    <row r="30" spans="1:2" x14ac:dyDescent="0.3">
      <c r="A30">
        <v>24</v>
      </c>
      <c r="B30">
        <v>1.493994277035902</v>
      </c>
    </row>
    <row r="31" spans="1:2" x14ac:dyDescent="0.3">
      <c r="A31">
        <v>25</v>
      </c>
      <c r="B31">
        <v>1.493994277035902</v>
      </c>
    </row>
    <row r="32" spans="1:2" x14ac:dyDescent="0.3">
      <c r="A32">
        <v>26</v>
      </c>
      <c r="B32">
        <v>1.4948351185026332</v>
      </c>
    </row>
    <row r="33" spans="1:2" x14ac:dyDescent="0.3">
      <c r="A33">
        <v>27</v>
      </c>
      <c r="B33">
        <v>1.4948351185026332</v>
      </c>
    </row>
    <row r="34" spans="1:2" x14ac:dyDescent="0.3">
      <c r="A34">
        <v>28</v>
      </c>
      <c r="B34">
        <v>1.4956775910886535</v>
      </c>
    </row>
    <row r="35" spans="1:2" x14ac:dyDescent="0.3">
      <c r="A35">
        <v>29</v>
      </c>
      <c r="B35">
        <v>1.4956775910886535</v>
      </c>
    </row>
    <row r="36" spans="1:2" x14ac:dyDescent="0.3">
      <c r="A36">
        <v>30</v>
      </c>
      <c r="B36">
        <v>1.4965217011345688</v>
      </c>
    </row>
    <row r="37" spans="1:2" x14ac:dyDescent="0.3">
      <c r="A37">
        <v>31</v>
      </c>
      <c r="B37">
        <v>1.4973674550180283</v>
      </c>
    </row>
    <row r="38" spans="1:2" x14ac:dyDescent="0.3">
      <c r="A38">
        <v>32</v>
      </c>
      <c r="B38">
        <v>1.4973674550180283</v>
      </c>
    </row>
    <row r="39" spans="1:2" x14ac:dyDescent="0.3">
      <c r="A39">
        <v>33</v>
      </c>
      <c r="B39">
        <v>1.4982148591540139</v>
      </c>
    </row>
    <row r="40" spans="1:2" x14ac:dyDescent="0.3">
      <c r="A40">
        <v>34</v>
      </c>
      <c r="B40">
        <v>1.4982148591540139</v>
      </c>
    </row>
    <row r="41" spans="1:2" x14ac:dyDescent="0.3">
      <c r="A41">
        <v>35</v>
      </c>
      <c r="B41">
        <v>1.4982148591540139</v>
      </c>
    </row>
    <row r="42" spans="1:2" x14ac:dyDescent="0.3">
      <c r="A42">
        <v>36</v>
      </c>
      <c r="B42">
        <v>1.4990639199951319</v>
      </c>
    </row>
    <row r="43" spans="1:2" x14ac:dyDescent="0.3">
      <c r="A43">
        <v>37</v>
      </c>
      <c r="B43">
        <v>1.4990639199951319</v>
      </c>
    </row>
    <row r="44" spans="1:2" x14ac:dyDescent="0.3">
      <c r="A44">
        <v>38</v>
      </c>
      <c r="B44">
        <v>1.4999146440319082</v>
      </c>
    </row>
    <row r="45" spans="1:2" x14ac:dyDescent="0.3">
      <c r="A45">
        <v>39</v>
      </c>
      <c r="B45">
        <v>1.4999146440319082</v>
      </c>
    </row>
    <row r="46" spans="1:2" x14ac:dyDescent="0.3">
      <c r="A46">
        <v>40</v>
      </c>
      <c r="B46">
        <v>1.5007670377930857</v>
      </c>
    </row>
    <row r="47" spans="1:2" x14ac:dyDescent="0.3">
      <c r="A47">
        <v>41</v>
      </c>
      <c r="B47">
        <v>1.5007670377930857</v>
      </c>
    </row>
    <row r="48" spans="1:2" x14ac:dyDescent="0.3">
      <c r="A48">
        <v>42</v>
      </c>
      <c r="B48">
        <v>1.5016211078459254</v>
      </c>
    </row>
    <row r="49" spans="1:2" x14ac:dyDescent="0.3">
      <c r="A49">
        <v>43</v>
      </c>
      <c r="B49">
        <v>1.5016211078459254</v>
      </c>
    </row>
    <row r="50" spans="1:2" x14ac:dyDescent="0.3">
      <c r="A50">
        <v>44</v>
      </c>
      <c r="B50">
        <v>1.5024768607965087</v>
      </c>
    </row>
    <row r="51" spans="1:2" x14ac:dyDescent="0.3">
      <c r="A51">
        <v>45</v>
      </c>
      <c r="B51">
        <v>1.5024768607965087</v>
      </c>
    </row>
    <row r="52" spans="1:2" x14ac:dyDescent="0.3">
      <c r="A52">
        <v>46</v>
      </c>
      <c r="B52">
        <v>1.5033343032900455</v>
      </c>
    </row>
    <row r="53" spans="1:2" x14ac:dyDescent="0.3">
      <c r="A53">
        <v>47</v>
      </c>
      <c r="B53">
        <v>1.5033343032900455</v>
      </c>
    </row>
    <row r="54" spans="1:2" x14ac:dyDescent="0.3">
      <c r="A54">
        <v>48</v>
      </c>
      <c r="B54">
        <v>1.5033343032900455</v>
      </c>
    </row>
    <row r="55" spans="1:2" x14ac:dyDescent="0.3">
      <c r="A55">
        <v>49</v>
      </c>
      <c r="B55">
        <v>1.5041934420111831</v>
      </c>
    </row>
    <row r="56" spans="1:2" x14ac:dyDescent="0.3">
      <c r="A56">
        <v>50</v>
      </c>
      <c r="B56">
        <v>1.5041934420111831</v>
      </c>
    </row>
    <row r="57" spans="1:2" x14ac:dyDescent="0.3">
      <c r="A57">
        <v>51</v>
      </c>
      <c r="B57">
        <v>1.5050542836843193</v>
      </c>
    </row>
    <row r="58" spans="1:2" x14ac:dyDescent="0.3">
      <c r="A58">
        <v>52</v>
      </c>
      <c r="B58">
        <v>1.5050542836843193</v>
      </c>
    </row>
    <row r="59" spans="1:2" x14ac:dyDescent="0.3">
      <c r="A59">
        <v>53</v>
      </c>
      <c r="B59">
        <v>1.5050542836843193</v>
      </c>
    </row>
    <row r="60" spans="1:2" x14ac:dyDescent="0.3">
      <c r="A60">
        <v>54</v>
      </c>
      <c r="B60">
        <v>1.5050542836843193</v>
      </c>
    </row>
    <row r="61" spans="1:2" x14ac:dyDescent="0.3">
      <c r="A61">
        <v>55</v>
      </c>
      <c r="B61">
        <v>1.5059168350739172</v>
      </c>
    </row>
    <row r="62" spans="1:2" x14ac:dyDescent="0.3">
      <c r="A62">
        <v>56</v>
      </c>
      <c r="B62">
        <v>1.5059168350739172</v>
      </c>
    </row>
    <row r="63" spans="1:2" x14ac:dyDescent="0.3">
      <c r="A63">
        <v>57</v>
      </c>
      <c r="B63">
        <v>1.5059168350739172</v>
      </c>
    </row>
    <row r="64" spans="1:2" x14ac:dyDescent="0.3">
      <c r="A64">
        <v>58</v>
      </c>
      <c r="B64">
        <v>1.5059168350739172</v>
      </c>
    </row>
    <row r="65" spans="1:2" x14ac:dyDescent="0.3">
      <c r="A65">
        <v>59</v>
      </c>
      <c r="B65">
        <v>1.5067811029848253</v>
      </c>
    </row>
    <row r="66" spans="1:2" x14ac:dyDescent="0.3">
      <c r="A66">
        <v>60</v>
      </c>
      <c r="B66">
        <v>1.5067811029848253</v>
      </c>
    </row>
    <row r="67" spans="1:2" x14ac:dyDescent="0.3">
      <c r="A67">
        <v>61</v>
      </c>
      <c r="B67">
        <v>1.5076470942625988</v>
      </c>
    </row>
    <row r="68" spans="1:2" x14ac:dyDescent="0.3">
      <c r="A68">
        <v>62</v>
      </c>
      <c r="B68">
        <v>1.5076470942625988</v>
      </c>
    </row>
    <row r="69" spans="1:2" x14ac:dyDescent="0.3">
      <c r="A69">
        <v>63</v>
      </c>
      <c r="B69">
        <v>1.5085148157938257</v>
      </c>
    </row>
    <row r="70" spans="1:2" x14ac:dyDescent="0.3">
      <c r="A70">
        <v>64</v>
      </c>
      <c r="B70">
        <v>1.5085148157938257</v>
      </c>
    </row>
    <row r="71" spans="1:2" x14ac:dyDescent="0.3">
      <c r="A71">
        <v>65</v>
      </c>
      <c r="B71">
        <v>1.5085148157938257</v>
      </c>
    </row>
    <row r="72" spans="1:2" x14ac:dyDescent="0.3">
      <c r="A72">
        <v>66</v>
      </c>
      <c r="B72">
        <v>1.5093842745064547</v>
      </c>
    </row>
    <row r="73" spans="1:2" x14ac:dyDescent="0.3">
      <c r="A73">
        <v>67</v>
      </c>
      <c r="B73">
        <v>1.5093842745064547</v>
      </c>
    </row>
    <row r="74" spans="1:2" x14ac:dyDescent="0.3">
      <c r="A74">
        <v>68</v>
      </c>
      <c r="B74">
        <v>1.5102554773701269</v>
      </c>
    </row>
    <row r="75" spans="1:2" x14ac:dyDescent="0.3">
      <c r="A75">
        <v>69</v>
      </c>
      <c r="B75">
        <v>1.5102554773701269</v>
      </c>
    </row>
    <row r="76" spans="1:2" x14ac:dyDescent="0.3">
      <c r="A76">
        <v>70</v>
      </c>
      <c r="B76">
        <v>1.5111284313965123</v>
      </c>
    </row>
    <row r="77" spans="1:2" x14ac:dyDescent="0.3">
      <c r="A77">
        <v>71</v>
      </c>
      <c r="B77">
        <v>1.5111284313965123</v>
      </c>
    </row>
    <row r="78" spans="1:2" x14ac:dyDescent="0.3">
      <c r="A78">
        <v>72</v>
      </c>
      <c r="B78">
        <v>1.5111284313965123</v>
      </c>
    </row>
    <row r="79" spans="1:2" x14ac:dyDescent="0.3">
      <c r="A79">
        <v>73</v>
      </c>
      <c r="B79">
        <v>1.5120031436396471</v>
      </c>
    </row>
    <row r="80" spans="1:2" x14ac:dyDescent="0.3">
      <c r="A80">
        <v>74</v>
      </c>
      <c r="B80">
        <v>1.5120031436396471</v>
      </c>
    </row>
    <row r="81" spans="1:2" x14ac:dyDescent="0.3">
      <c r="A81">
        <v>75</v>
      </c>
      <c r="B81">
        <v>1.5120031436396471</v>
      </c>
    </row>
    <row r="82" spans="1:2" x14ac:dyDescent="0.3">
      <c r="A82">
        <v>76</v>
      </c>
      <c r="B82">
        <v>1.5128796211962758</v>
      </c>
    </row>
    <row r="83" spans="1:2" x14ac:dyDescent="0.3">
      <c r="A83">
        <v>77</v>
      </c>
      <c r="B83">
        <v>1.5128796211962758</v>
      </c>
    </row>
    <row r="84" spans="1:2" x14ac:dyDescent="0.3">
      <c r="A84">
        <v>78</v>
      </c>
      <c r="B84">
        <v>1.5128796211962758</v>
      </c>
    </row>
    <row r="85" spans="1:2" x14ac:dyDescent="0.3">
      <c r="A85">
        <v>79</v>
      </c>
      <c r="B85">
        <v>1.5137578712061976</v>
      </c>
    </row>
    <row r="86" spans="1:2" x14ac:dyDescent="0.3">
      <c r="A86">
        <v>80</v>
      </c>
      <c r="B86">
        <v>1.5137578712061976</v>
      </c>
    </row>
    <row r="87" spans="1:2" x14ac:dyDescent="0.3">
      <c r="A87">
        <v>81</v>
      </c>
      <c r="B87">
        <v>1.5137578712061976</v>
      </c>
    </row>
    <row r="88" spans="1:2" x14ac:dyDescent="0.3">
      <c r="A88">
        <v>82</v>
      </c>
      <c r="B88">
        <v>1.5146379008526145</v>
      </c>
    </row>
    <row r="89" spans="1:2" x14ac:dyDescent="0.3">
      <c r="A89">
        <v>83</v>
      </c>
      <c r="B89">
        <v>1.5146379008526145</v>
      </c>
    </row>
    <row r="90" spans="1:2" x14ac:dyDescent="0.3">
      <c r="A90">
        <v>84</v>
      </c>
      <c r="B90">
        <v>1.5155197173624841</v>
      </c>
    </row>
    <row r="91" spans="1:2" x14ac:dyDescent="0.3">
      <c r="A91">
        <v>85</v>
      </c>
      <c r="B91">
        <v>1.5155197173624841</v>
      </c>
    </row>
    <row r="92" spans="1:2" x14ac:dyDescent="0.3">
      <c r="A92">
        <v>86</v>
      </c>
      <c r="B92">
        <v>1.5164033280068761</v>
      </c>
    </row>
    <row r="93" spans="1:2" x14ac:dyDescent="0.3">
      <c r="A93">
        <v>87</v>
      </c>
      <c r="B93">
        <v>1.5164033280068761</v>
      </c>
    </row>
    <row r="94" spans="1:2" x14ac:dyDescent="0.3">
      <c r="A94">
        <v>88</v>
      </c>
      <c r="B94">
        <v>1.5164033280068761</v>
      </c>
    </row>
    <row r="95" spans="1:2" x14ac:dyDescent="0.3">
      <c r="A95">
        <v>89</v>
      </c>
      <c r="B95">
        <v>1.5164033280068761</v>
      </c>
    </row>
    <row r="96" spans="1:2" x14ac:dyDescent="0.3">
      <c r="A96">
        <v>90</v>
      </c>
      <c r="B96">
        <v>1.5172887401013309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70F0-6808-4F12-AC59-8A04DD1C75CE}">
  <dimension ref="A1:J14"/>
  <sheetViews>
    <sheetView workbookViewId="0">
      <selection activeCell="I12" sqref="I12"/>
    </sheetView>
  </sheetViews>
  <sheetFormatPr defaultRowHeight="14.4" x14ac:dyDescent="0.3"/>
  <cols>
    <col min="1" max="1" width="26" bestFit="1" customWidth="1"/>
    <col min="2" max="2" width="26.44140625" bestFit="1" customWidth="1"/>
    <col min="3" max="3" width="12" customWidth="1"/>
    <col min="4" max="4" width="18.88671875" customWidth="1"/>
    <col min="5" max="5" width="20.44140625" customWidth="1"/>
    <col min="8" max="8" width="15.44140625" bestFit="1" customWidth="1"/>
    <col min="9" max="9" width="12" bestFit="1" customWidth="1"/>
  </cols>
  <sheetData>
    <row r="1" spans="1:10" x14ac:dyDescent="0.3">
      <c r="A1" s="1" t="s">
        <v>38</v>
      </c>
      <c r="B1" s="1"/>
    </row>
    <row r="2" spans="1:10" x14ac:dyDescent="0.3">
      <c r="A2" s="1" t="s">
        <v>41</v>
      </c>
      <c r="B2" s="1"/>
      <c r="D2" s="1" t="s">
        <v>42</v>
      </c>
      <c r="E2" s="1"/>
    </row>
    <row r="3" spans="1:10" x14ac:dyDescent="0.3">
      <c r="A3" s="2" t="s">
        <v>8</v>
      </c>
      <c r="B3" s="3" t="s">
        <v>39</v>
      </c>
      <c r="D3" s="2" t="s">
        <v>8</v>
      </c>
      <c r="E3" s="3" t="s">
        <v>39</v>
      </c>
    </row>
    <row r="4" spans="1:10" x14ac:dyDescent="0.3">
      <c r="A4" s="2" t="s">
        <v>40</v>
      </c>
      <c r="B4" s="3" t="s">
        <v>24</v>
      </c>
      <c r="C4" t="s">
        <v>34</v>
      </c>
      <c r="D4" s="2" t="s">
        <v>40</v>
      </c>
      <c r="E4" s="3" t="s">
        <v>24</v>
      </c>
      <c r="F4" s="7" t="s">
        <v>35</v>
      </c>
      <c r="H4" t="s">
        <v>45</v>
      </c>
    </row>
    <row r="5" spans="1:10" x14ac:dyDescent="0.3">
      <c r="A5" s="5"/>
      <c r="B5" s="6"/>
      <c r="D5" s="5"/>
      <c r="E5" s="6"/>
    </row>
    <row r="7" spans="1:10" x14ac:dyDescent="0.3">
      <c r="A7" s="2" t="s">
        <v>6</v>
      </c>
      <c r="B7" s="2" t="s">
        <v>7</v>
      </c>
      <c r="D7" s="2" t="s">
        <v>6</v>
      </c>
      <c r="E7" s="2" t="s">
        <v>7</v>
      </c>
    </row>
    <row r="8" spans="1:10" x14ac:dyDescent="0.3">
      <c r="A8" s="3">
        <v>1</v>
      </c>
      <c r="B8" s="3">
        <v>1.485674204917298</v>
      </c>
      <c r="D8" s="3">
        <v>1</v>
      </c>
      <c r="E8" s="3">
        <v>1.5164033280068761</v>
      </c>
    </row>
    <row r="9" spans="1:10" x14ac:dyDescent="0.3">
      <c r="A9" s="3">
        <v>2</v>
      </c>
      <c r="B9" s="3">
        <v>1.4864990759761054</v>
      </c>
      <c r="D9" s="3">
        <v>2</v>
      </c>
      <c r="E9" s="3">
        <v>1.5164033280068761</v>
      </c>
    </row>
    <row r="10" spans="1:10" x14ac:dyDescent="0.3">
      <c r="A10" s="3">
        <v>3</v>
      </c>
      <c r="B10" s="3">
        <v>1.4864990759761054</v>
      </c>
      <c r="D10" s="3">
        <v>3</v>
      </c>
      <c r="E10" s="3">
        <v>1.5164033280068761</v>
      </c>
    </row>
    <row r="11" spans="1:10" x14ac:dyDescent="0.3">
      <c r="A11" s="3">
        <v>4</v>
      </c>
      <c r="B11" s="3">
        <v>1.4864990759761054</v>
      </c>
      <c r="D11" s="3">
        <v>4</v>
      </c>
      <c r="E11" s="3">
        <v>1.5164033280068761</v>
      </c>
      <c r="H11" s="3" t="s">
        <v>32</v>
      </c>
      <c r="I11" s="3" t="s">
        <v>36</v>
      </c>
    </row>
    <row r="12" spans="1:10" x14ac:dyDescent="0.3">
      <c r="A12" s="3">
        <v>5</v>
      </c>
      <c r="B12" s="3">
        <v>1.4873255167238877</v>
      </c>
      <c r="D12" s="3">
        <v>5</v>
      </c>
      <c r="E12" s="3">
        <v>1.5172887401013309</v>
      </c>
      <c r="H12" s="3" t="s">
        <v>32</v>
      </c>
      <c r="I12" s="3">
        <f>E14-B14</f>
        <v>3.0081020511866452E-2</v>
      </c>
    </row>
    <row r="13" spans="1:10" x14ac:dyDescent="0.3">
      <c r="H13" s="3" t="s">
        <v>33</v>
      </c>
      <c r="I13" s="3">
        <f>I12*16030</f>
        <v>482.1987588052192</v>
      </c>
      <c r="J13" t="s">
        <v>27</v>
      </c>
    </row>
    <row r="14" spans="1:10" x14ac:dyDescent="0.3">
      <c r="A14" t="s">
        <v>43</v>
      </c>
      <c r="B14">
        <f>AVERAGE(B8:B12)</f>
        <v>1.4864993899139005</v>
      </c>
      <c r="D14" t="s">
        <v>44</v>
      </c>
      <c r="E14">
        <f>AVERAGE(E8:E12)</f>
        <v>1.516580410425767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BB06-BBB7-4700-A379-66D5FB977E95}">
  <dimension ref="A1:J14"/>
  <sheetViews>
    <sheetView workbookViewId="0">
      <selection activeCell="E22" sqref="E22"/>
    </sheetView>
  </sheetViews>
  <sheetFormatPr defaultRowHeight="14.4" x14ac:dyDescent="0.3"/>
  <cols>
    <col min="1" max="1" width="26" bestFit="1" customWidth="1"/>
    <col min="2" max="2" width="26.44140625" bestFit="1" customWidth="1"/>
    <col min="3" max="3" width="12" customWidth="1"/>
    <col min="4" max="4" width="18.88671875" customWidth="1"/>
    <col min="5" max="5" width="20.44140625" customWidth="1"/>
    <col min="8" max="8" width="15.44140625" bestFit="1" customWidth="1"/>
    <col min="9" max="9" width="12" bestFit="1" customWidth="1"/>
  </cols>
  <sheetData>
    <row r="1" spans="1:10" x14ac:dyDescent="0.3">
      <c r="A1" s="1" t="s">
        <v>38</v>
      </c>
      <c r="B1" s="1"/>
    </row>
    <row r="2" spans="1:10" x14ac:dyDescent="0.3">
      <c r="A2" s="1" t="s">
        <v>41</v>
      </c>
      <c r="B2" s="1"/>
      <c r="D2" s="1" t="s">
        <v>42</v>
      </c>
      <c r="E2" s="1"/>
    </row>
    <row r="3" spans="1:10" x14ac:dyDescent="0.3">
      <c r="A3" s="2" t="s">
        <v>8</v>
      </c>
      <c r="B3" s="3" t="s">
        <v>39</v>
      </c>
      <c r="D3" s="2" t="s">
        <v>8</v>
      </c>
      <c r="E3" s="3" t="s">
        <v>39</v>
      </c>
    </row>
    <row r="4" spans="1:10" x14ac:dyDescent="0.3">
      <c r="A4" s="2" t="s">
        <v>40</v>
      </c>
      <c r="B4" s="3" t="s">
        <v>24</v>
      </c>
      <c r="C4" t="s">
        <v>34</v>
      </c>
      <c r="D4" s="2" t="s">
        <v>40</v>
      </c>
      <c r="E4" s="3" t="s">
        <v>24</v>
      </c>
      <c r="F4" s="7" t="s">
        <v>35</v>
      </c>
      <c r="H4" t="s">
        <v>45</v>
      </c>
    </row>
    <row r="5" spans="1:10" x14ac:dyDescent="0.3">
      <c r="A5" s="5"/>
      <c r="B5" s="6"/>
      <c r="D5" s="5"/>
      <c r="E5" s="6"/>
    </row>
    <row r="7" spans="1:10" x14ac:dyDescent="0.3">
      <c r="A7" s="2" t="s">
        <v>6</v>
      </c>
      <c r="B7" s="2" t="s">
        <v>7</v>
      </c>
      <c r="D7" s="2" t="s">
        <v>6</v>
      </c>
      <c r="E7" s="2" t="s">
        <v>7</v>
      </c>
    </row>
    <row r="8" spans="1:10" x14ac:dyDescent="0.3">
      <c r="A8" s="3">
        <v>1</v>
      </c>
      <c r="B8" s="3">
        <v>1.485674204917298</v>
      </c>
      <c r="D8" s="3">
        <v>1</v>
      </c>
      <c r="E8" s="3">
        <v>1.5164033280068761</v>
      </c>
    </row>
    <row r="9" spans="1:10" x14ac:dyDescent="0.3">
      <c r="A9" s="3">
        <v>2</v>
      </c>
      <c r="B9" s="3">
        <v>1.4864990759761054</v>
      </c>
      <c r="D9" s="3">
        <v>2</v>
      </c>
      <c r="E9" s="3">
        <v>1.5164033280068761</v>
      </c>
    </row>
    <row r="10" spans="1:10" x14ac:dyDescent="0.3">
      <c r="A10" s="3">
        <v>3</v>
      </c>
      <c r="B10" s="3">
        <v>1.4864990759761054</v>
      </c>
      <c r="D10" s="3">
        <v>3</v>
      </c>
      <c r="E10" s="3">
        <v>1.5164033280068761</v>
      </c>
    </row>
    <row r="11" spans="1:10" x14ac:dyDescent="0.3">
      <c r="A11" s="3">
        <v>4</v>
      </c>
      <c r="B11" s="3">
        <v>1.4864990759761054</v>
      </c>
      <c r="D11" s="3">
        <v>4</v>
      </c>
      <c r="E11" s="3">
        <v>1.5164033280068761</v>
      </c>
      <c r="H11" s="3" t="s">
        <v>32</v>
      </c>
      <c r="I11" s="3" t="s">
        <v>46</v>
      </c>
    </row>
    <row r="12" spans="1:10" x14ac:dyDescent="0.3">
      <c r="A12" s="3">
        <v>5</v>
      </c>
      <c r="B12" s="3">
        <v>1.4873255167238877</v>
      </c>
      <c r="D12" s="3">
        <v>5</v>
      </c>
      <c r="E12" s="3">
        <v>1.5172887401013309</v>
      </c>
      <c r="H12" s="3" t="s">
        <v>32</v>
      </c>
      <c r="I12" s="3">
        <f>B14/E14</f>
        <v>0.98016523205424932</v>
      </c>
    </row>
    <row r="13" spans="1:10" x14ac:dyDescent="0.3">
      <c r="H13" s="3" t="s">
        <v>33</v>
      </c>
      <c r="I13" s="3">
        <f>I12*160</f>
        <v>156.82643712867988</v>
      </c>
      <c r="J13" t="s">
        <v>27</v>
      </c>
    </row>
    <row r="14" spans="1:10" x14ac:dyDescent="0.3">
      <c r="A14" t="s">
        <v>43</v>
      </c>
      <c r="B14">
        <f>AVERAGE(B8:B12)</f>
        <v>1.4864993899139005</v>
      </c>
      <c r="D14" t="s">
        <v>44</v>
      </c>
      <c r="E14">
        <f>AVERAGE(E8:E12)</f>
        <v>1.516580410425767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 Point</vt:lpstr>
      <vt:lpstr>Kinetics</vt:lpstr>
      <vt:lpstr>Fixed time</vt:lpstr>
      <vt:lpstr>2 Point</vt:lpstr>
      <vt:lpstr>Turbidity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Uthayakumar M</dc:creator>
  <cp:lastModifiedBy>Uthayakumar M</cp:lastModifiedBy>
  <dcterms:created xsi:type="dcterms:W3CDTF">2022-11-02T05:55:44Z</dcterms:created>
  <dcterms:modified xsi:type="dcterms:W3CDTF">2022-11-08T05:12:50Z</dcterms:modified>
</cp:coreProperties>
</file>