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hay\Downloads\"/>
    </mc:Choice>
  </mc:AlternateContent>
  <xr:revisionPtr revIDLastSave="0" documentId="13_ncr:1_{C145E46B-DC30-4D7F-9CE4-ECC1FB4E9B7F}" xr6:coauthVersionLast="47" xr6:coauthVersionMax="47" xr10:uidLastSave="{00000000-0000-0000-0000-000000000000}"/>
  <bookViews>
    <workbookView xWindow="-108" yWindow="-108" windowWidth="23256" windowHeight="12456" xr2:uid="{F169A2E4-479D-4555-BCB2-D12C8C8CD257}"/>
  </bookViews>
  <sheets>
    <sheet name="Gain order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I25" i="1"/>
  <c r="I23" i="1"/>
  <c r="I21" i="1"/>
  <c r="H24" i="1"/>
  <c r="G25" i="1"/>
  <c r="G24" i="1"/>
  <c r="H25" i="1"/>
  <c r="H21" i="1"/>
  <c r="F25" i="1"/>
  <c r="F24" i="1"/>
  <c r="F23" i="1"/>
  <c r="F22" i="1"/>
  <c r="F21" i="1"/>
  <c r="F20" i="1"/>
  <c r="J20" i="1"/>
  <c r="H20" i="1"/>
  <c r="J19" i="1"/>
  <c r="I19" i="1"/>
  <c r="F19" i="1"/>
  <c r="J14" i="1"/>
  <c r="J12" i="1"/>
  <c r="J11" i="1"/>
  <c r="J18" i="1"/>
  <c r="I17" i="1"/>
  <c r="H17" i="1"/>
  <c r="G17" i="1"/>
  <c r="F18" i="1"/>
  <c r="J17" i="1"/>
  <c r="H16" i="1"/>
  <c r="I15" i="1"/>
  <c r="G15" i="1"/>
  <c r="G14" i="1"/>
  <c r="J13" i="1"/>
  <c r="J10" i="1"/>
  <c r="I13" i="1"/>
  <c r="H13" i="1"/>
  <c r="H12" i="1"/>
  <c r="I11" i="1"/>
  <c r="D6" i="1"/>
  <c r="G5" i="1"/>
  <c r="D5" i="1"/>
  <c r="J4" i="1"/>
  <c r="G4" i="1"/>
  <c r="J15" i="1" s="1"/>
  <c r="F4" i="1"/>
  <c r="J16" i="1" s="1"/>
  <c r="D4" i="1"/>
  <c r="G23" i="1" s="1"/>
  <c r="K3" i="1"/>
  <c r="J25" i="1" s="1"/>
  <c r="J3" i="1"/>
  <c r="I3" i="1"/>
  <c r="J23" i="1" s="1"/>
  <c r="H3" i="1"/>
  <c r="J24" i="1" s="1"/>
  <c r="G3" i="1"/>
  <c r="F3" i="1"/>
  <c r="E3" i="1"/>
  <c r="J22" i="1" s="1"/>
  <c r="D3" i="1"/>
  <c r="G16" i="1" l="1"/>
  <c r="G22" i="1"/>
</calcChain>
</file>

<file path=xl/sharedStrings.xml><?xml version="1.0" encoding="utf-8"?>
<sst xmlns="http://schemas.openxmlformats.org/spreadsheetml/2006/main" count="113" uniqueCount="33">
  <si>
    <t>RES in Mohms</t>
  </si>
  <si>
    <t>Res in Ohm</t>
  </si>
  <si>
    <t>R4</t>
  </si>
  <si>
    <t>R3</t>
  </si>
  <si>
    <t>R2</t>
  </si>
  <si>
    <t>R1</t>
  </si>
  <si>
    <t>Control 1</t>
  </si>
  <si>
    <t>Control 2</t>
  </si>
  <si>
    <t>Control 3</t>
  </si>
  <si>
    <t>Control 4</t>
  </si>
  <si>
    <t>Open</t>
  </si>
  <si>
    <t>R4 (Mohm)</t>
  </si>
  <si>
    <t>R3(Mohm)</t>
  </si>
  <si>
    <t>R2(Mohm)</t>
  </si>
  <si>
    <t>R1(Mohm)</t>
  </si>
  <si>
    <t>Total resistance(Mohm)</t>
  </si>
  <si>
    <t>A</t>
  </si>
  <si>
    <t>AB</t>
  </si>
  <si>
    <t>AC</t>
  </si>
  <si>
    <t>AD</t>
  </si>
  <si>
    <t>ABC</t>
  </si>
  <si>
    <t>ABD</t>
  </si>
  <si>
    <t>ACD</t>
  </si>
  <si>
    <t>ABCD</t>
  </si>
  <si>
    <t>B</t>
  </si>
  <si>
    <t>BC</t>
  </si>
  <si>
    <t>BD</t>
  </si>
  <si>
    <t>BCD</t>
  </si>
  <si>
    <t>C</t>
  </si>
  <si>
    <t>CD</t>
  </si>
  <si>
    <t>D</t>
  </si>
  <si>
    <t>Gain</t>
  </si>
  <si>
    <t>Gain Order based on Low to High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</si>
</sst>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3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3" xfId="0" applyFont="1" applyFill="1" applyBorder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9236-0CCE-4CF7-8C35-B12910E75CF2}">
  <dimension ref="A1:F17"/>
  <sheetViews>
    <sheetView tabSelected="1" workbookViewId="0">
      <selection activeCell="H9" sqref="H9"/>
    </sheetView>
  </sheetViews>
  <sheetFormatPr defaultRowHeight="14.4" x14ac:dyDescent="0.3"/>
  <cols>
    <col min="1" max="1" width="13.21875" customWidth="1"/>
    <col min="2" max="2" width="11.88671875" customWidth="1"/>
    <col min="3" max="4" width="12.109375" customWidth="1"/>
    <col min="5" max="5" width="21.44140625" customWidth="1"/>
    <col min="6" max="6" width="11.6640625" customWidth="1"/>
  </cols>
  <sheetData>
    <row r="1" spans="1:6" ht="57.6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14" t="s">
        <v>32</v>
      </c>
    </row>
    <row r="2" spans="1:6" x14ac:dyDescent="0.3">
      <c r="A2" s="4" t="s">
        <v>10</v>
      </c>
      <c r="B2" s="4" t="s">
        <v>10</v>
      </c>
      <c r="C2" s="4" t="s">
        <v>10</v>
      </c>
      <c r="D2" s="4" t="s">
        <v>10</v>
      </c>
      <c r="E2" s="4">
        <v>0</v>
      </c>
      <c r="F2" s="3">
        <v>0</v>
      </c>
    </row>
    <row r="3" spans="1:6" x14ac:dyDescent="0.3">
      <c r="A3" s="4">
        <v>940</v>
      </c>
      <c r="B3" s="4">
        <v>200</v>
      </c>
      <c r="C3" s="4">
        <v>18</v>
      </c>
      <c r="D3" s="4">
        <v>6.8</v>
      </c>
      <c r="E3" s="4">
        <v>4.792067199562843</v>
      </c>
      <c r="F3" s="3">
        <v>15</v>
      </c>
    </row>
    <row r="4" spans="1:6" x14ac:dyDescent="0.3">
      <c r="A4" s="4" t="s">
        <v>10</v>
      </c>
      <c r="B4" s="4">
        <v>200</v>
      </c>
      <c r="C4" s="4">
        <v>18</v>
      </c>
      <c r="D4" s="4">
        <v>6.8</v>
      </c>
      <c r="E4" s="4">
        <v>4.8166220683141825</v>
      </c>
      <c r="F4" s="3">
        <v>7</v>
      </c>
    </row>
    <row r="5" spans="1:6" x14ac:dyDescent="0.3">
      <c r="A5" s="4">
        <v>940</v>
      </c>
      <c r="B5" s="4" t="s">
        <v>10</v>
      </c>
      <c r="C5" s="4">
        <v>18</v>
      </c>
      <c r="D5" s="4">
        <v>6.8</v>
      </c>
      <c r="E5" s="4">
        <v>4.909705390366299</v>
      </c>
      <c r="F5" s="3">
        <v>11</v>
      </c>
    </row>
    <row r="6" spans="1:6" x14ac:dyDescent="0.3">
      <c r="A6" s="4" t="s">
        <v>10</v>
      </c>
      <c r="B6" s="4" t="s">
        <v>10</v>
      </c>
      <c r="C6" s="4">
        <v>18</v>
      </c>
      <c r="D6" s="4">
        <v>6.8</v>
      </c>
      <c r="E6" s="4">
        <v>4.9354838709677411</v>
      </c>
      <c r="F6" s="3">
        <v>3</v>
      </c>
    </row>
    <row r="7" spans="1:6" x14ac:dyDescent="0.3">
      <c r="A7" s="4">
        <v>940</v>
      </c>
      <c r="B7" s="4">
        <v>200</v>
      </c>
      <c r="C7" s="4" t="s">
        <v>10</v>
      </c>
      <c r="D7" s="4">
        <v>6.8</v>
      </c>
      <c r="E7" s="4">
        <v>6.5307123298867955</v>
      </c>
      <c r="F7" s="3">
        <v>13</v>
      </c>
    </row>
    <row r="8" spans="1:6" x14ac:dyDescent="0.3">
      <c r="A8" s="4" t="s">
        <v>10</v>
      </c>
      <c r="B8" s="4">
        <v>200</v>
      </c>
      <c r="C8" s="4" t="s">
        <v>10</v>
      </c>
      <c r="D8" s="4">
        <v>6.8</v>
      </c>
      <c r="E8" s="4">
        <v>6.5764023210831715</v>
      </c>
      <c r="F8" s="3">
        <v>5</v>
      </c>
    </row>
    <row r="9" spans="1:6" x14ac:dyDescent="0.3">
      <c r="A9" s="4">
        <v>940</v>
      </c>
      <c r="B9" s="4" t="s">
        <v>10</v>
      </c>
      <c r="C9" s="4" t="s">
        <v>10</v>
      </c>
      <c r="D9" s="4">
        <v>6.8</v>
      </c>
      <c r="E9" s="4">
        <v>6.751161808196029</v>
      </c>
      <c r="F9" s="3">
        <v>9</v>
      </c>
    </row>
    <row r="10" spans="1:6" x14ac:dyDescent="0.3">
      <c r="A10" s="4" t="s">
        <v>10</v>
      </c>
      <c r="B10" s="4" t="s">
        <v>10</v>
      </c>
      <c r="C10" s="4" t="s">
        <v>10</v>
      </c>
      <c r="D10" s="4">
        <v>6.8</v>
      </c>
      <c r="E10" s="4">
        <v>6.8</v>
      </c>
      <c r="F10" s="3">
        <v>1</v>
      </c>
    </row>
    <row r="11" spans="1:6" x14ac:dyDescent="0.3">
      <c r="A11" s="4">
        <v>940</v>
      </c>
      <c r="B11" s="4">
        <v>200</v>
      </c>
      <c r="C11" s="4">
        <v>18</v>
      </c>
      <c r="D11" s="4" t="s">
        <v>10</v>
      </c>
      <c r="E11" s="4">
        <v>16.228659121427203</v>
      </c>
      <c r="F11" s="3">
        <v>14</v>
      </c>
    </row>
    <row r="12" spans="1:6" x14ac:dyDescent="0.3">
      <c r="A12" s="4" t="s">
        <v>10</v>
      </c>
      <c r="B12" s="4">
        <v>200</v>
      </c>
      <c r="C12" s="4">
        <v>18</v>
      </c>
      <c r="D12" s="4" t="s">
        <v>10</v>
      </c>
      <c r="E12" s="4">
        <v>16.513761467889907</v>
      </c>
      <c r="F12" s="3">
        <v>6</v>
      </c>
    </row>
    <row r="13" spans="1:6" x14ac:dyDescent="0.3">
      <c r="A13" s="4">
        <v>940</v>
      </c>
      <c r="B13" s="4" t="s">
        <v>10</v>
      </c>
      <c r="C13" s="4">
        <v>18</v>
      </c>
      <c r="D13" s="4" t="s">
        <v>10</v>
      </c>
      <c r="E13" s="4">
        <v>17.661795407098122</v>
      </c>
      <c r="F13" s="3">
        <v>10</v>
      </c>
    </row>
    <row r="14" spans="1:6" x14ac:dyDescent="0.3">
      <c r="A14" s="4" t="s">
        <v>10</v>
      </c>
      <c r="B14" s="4" t="s">
        <v>10</v>
      </c>
      <c r="C14" s="4">
        <v>18</v>
      </c>
      <c r="D14" s="4" t="s">
        <v>10</v>
      </c>
      <c r="E14" s="4">
        <v>18</v>
      </c>
      <c r="F14" s="3">
        <v>2</v>
      </c>
    </row>
    <row r="15" spans="1:6" x14ac:dyDescent="0.3">
      <c r="A15" s="4">
        <v>940</v>
      </c>
      <c r="B15" s="4">
        <v>200</v>
      </c>
      <c r="C15" s="4" t="s">
        <v>10</v>
      </c>
      <c r="D15" s="4" t="s">
        <v>10</v>
      </c>
      <c r="E15" s="4">
        <v>164.91228070175438</v>
      </c>
      <c r="F15" s="3">
        <v>12</v>
      </c>
    </row>
    <row r="16" spans="1:6" x14ac:dyDescent="0.3">
      <c r="A16" s="4" t="s">
        <v>10</v>
      </c>
      <c r="B16" s="4">
        <v>200</v>
      </c>
      <c r="C16" s="4" t="s">
        <v>10</v>
      </c>
      <c r="D16" s="4" t="s">
        <v>10</v>
      </c>
      <c r="E16" s="4">
        <v>200</v>
      </c>
      <c r="F16" s="3">
        <v>4</v>
      </c>
    </row>
    <row r="17" spans="1:6" x14ac:dyDescent="0.3">
      <c r="A17" s="4">
        <v>940</v>
      </c>
      <c r="B17" s="4" t="s">
        <v>10</v>
      </c>
      <c r="C17" s="4" t="s">
        <v>10</v>
      </c>
      <c r="D17" s="4" t="s">
        <v>10</v>
      </c>
      <c r="E17" s="4">
        <v>940</v>
      </c>
      <c r="F17" s="3">
        <v>8</v>
      </c>
    </row>
  </sheetData>
  <sortState xmlns:xlrd2="http://schemas.microsoft.com/office/spreadsheetml/2017/richdata2" ref="A2:F30">
    <sortCondition ref="E1:E3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ACD2-03D3-467B-86D3-A36CB2F98E0C}">
  <dimension ref="A1:V25"/>
  <sheetViews>
    <sheetView workbookViewId="0">
      <selection activeCell="D27" sqref="D27"/>
    </sheetView>
  </sheetViews>
  <sheetFormatPr defaultRowHeight="14.4" x14ac:dyDescent="0.3"/>
  <cols>
    <col min="6" max="8" width="12" bestFit="1" customWidth="1"/>
    <col min="9" max="9" width="11" bestFit="1" customWidth="1"/>
    <col min="10" max="10" width="21.77734375" bestFit="1" customWidth="1"/>
  </cols>
  <sheetData>
    <row r="1" spans="1:22" x14ac:dyDescent="0.3">
      <c r="E1" s="13" t="s">
        <v>0</v>
      </c>
      <c r="F1" s="13"/>
    </row>
    <row r="2" spans="1:22" ht="15" thickBot="1" x14ac:dyDescent="0.35">
      <c r="C2" t="s">
        <v>1</v>
      </c>
    </row>
    <row r="3" spans="1:22" x14ac:dyDescent="0.3">
      <c r="A3" s="4" t="s">
        <v>6</v>
      </c>
      <c r="B3" s="4" t="s">
        <v>2</v>
      </c>
      <c r="C3" s="3">
        <v>940</v>
      </c>
      <c r="D3" s="4">
        <f>C3</f>
        <v>940</v>
      </c>
      <c r="E3" s="4">
        <f>((C3*C4)/(C3+C4))</f>
        <v>164.91228070175438</v>
      </c>
      <c r="F3" s="4">
        <f>((C3*C5)/(C3+C5))</f>
        <v>17.661795407098122</v>
      </c>
      <c r="G3" s="4">
        <f>((C3*C6)/(C3+C6))</f>
        <v>6.751161808196029</v>
      </c>
      <c r="H3" s="4">
        <f>1/((1/$C$3)+(1/$C$4)+(1/$C$5))</f>
        <v>16.228659121427203</v>
      </c>
      <c r="I3" s="4">
        <f>1/((1/$C$3)+(1/$C$4)+(1/$C$6))</f>
        <v>6.5307123298867955</v>
      </c>
      <c r="J3" s="4">
        <f>1/((1/$C$3)+(1/$C$5)+(1/$C$6))</f>
        <v>4.909705390366299</v>
      </c>
      <c r="K3" s="4">
        <f>1/((1/$C$3)+(1/$C$5)+(1/$C$4)+(1/$C$6))</f>
        <v>4.792067199562843</v>
      </c>
      <c r="M3" s="1" t="s">
        <v>2</v>
      </c>
      <c r="N3" s="7" t="s">
        <v>16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8" t="s">
        <v>23</v>
      </c>
    </row>
    <row r="4" spans="1:22" x14ac:dyDescent="0.3">
      <c r="A4" s="4" t="s">
        <v>7</v>
      </c>
      <c r="B4" s="4" t="s">
        <v>3</v>
      </c>
      <c r="C4" s="3">
        <v>200</v>
      </c>
      <c r="D4" s="4">
        <f t="shared" ref="D4:D5" si="0">C4</f>
        <v>200</v>
      </c>
      <c r="E4" s="4"/>
      <c r="F4" s="4">
        <f>((C4*C5)/(C4+C5))</f>
        <v>16.513761467889907</v>
      </c>
      <c r="G4" s="4">
        <f>((C4*C6)/(C4+C6))</f>
        <v>6.5764023210831715</v>
      </c>
      <c r="H4" s="4"/>
      <c r="I4" s="4"/>
      <c r="J4" s="4">
        <f>1/((1/$C$4)+(1/$C$5)+(1/$C$6))</f>
        <v>4.8166220683141825</v>
      </c>
      <c r="K4" s="4"/>
      <c r="M4" s="2" t="s">
        <v>3</v>
      </c>
      <c r="N4" s="4" t="s">
        <v>24</v>
      </c>
      <c r="O4" s="4" t="s">
        <v>24</v>
      </c>
      <c r="P4" s="4"/>
      <c r="Q4" s="4" t="s">
        <v>25</v>
      </c>
      <c r="R4" s="4" t="s">
        <v>26</v>
      </c>
      <c r="S4" s="4"/>
      <c r="T4" s="4"/>
      <c r="U4" s="4" t="s">
        <v>27</v>
      </c>
      <c r="V4" s="5"/>
    </row>
    <row r="5" spans="1:22" x14ac:dyDescent="0.3">
      <c r="A5" s="4" t="s">
        <v>8</v>
      </c>
      <c r="B5" s="4" t="s">
        <v>4</v>
      </c>
      <c r="C5" s="3">
        <v>18</v>
      </c>
      <c r="D5" s="4">
        <f t="shared" si="0"/>
        <v>18</v>
      </c>
      <c r="E5" s="4"/>
      <c r="F5" s="4"/>
      <c r="G5" s="4">
        <f>((C5*C6)/(C5+C6))</f>
        <v>4.9354838709677411</v>
      </c>
      <c r="H5" s="4"/>
      <c r="I5" s="4"/>
      <c r="J5" s="4"/>
      <c r="K5" s="4"/>
      <c r="M5" s="2" t="s">
        <v>4</v>
      </c>
      <c r="N5" s="4" t="s">
        <v>28</v>
      </c>
      <c r="O5" s="4" t="s">
        <v>28</v>
      </c>
      <c r="P5" s="4"/>
      <c r="Q5" s="4"/>
      <c r="R5" s="4" t="s">
        <v>29</v>
      </c>
      <c r="S5" s="4"/>
      <c r="T5" s="4"/>
      <c r="U5" s="4"/>
      <c r="V5" s="5"/>
    </row>
    <row r="6" spans="1:22" ht="15" thickBot="1" x14ac:dyDescent="0.35">
      <c r="A6" s="4" t="s">
        <v>9</v>
      </c>
      <c r="B6" s="4" t="s">
        <v>5</v>
      </c>
      <c r="C6" s="3">
        <v>6.8</v>
      </c>
      <c r="D6" s="4">
        <f>C6</f>
        <v>6.8</v>
      </c>
      <c r="E6" s="4"/>
      <c r="F6" s="4"/>
      <c r="G6" s="4"/>
      <c r="H6" s="4"/>
      <c r="I6" s="4"/>
      <c r="J6" s="4"/>
      <c r="K6" s="4"/>
      <c r="M6" s="9" t="s">
        <v>5</v>
      </c>
      <c r="N6" s="10" t="s">
        <v>30</v>
      </c>
      <c r="O6" s="10" t="s">
        <v>30</v>
      </c>
      <c r="P6" s="10"/>
      <c r="Q6" s="10"/>
      <c r="R6" s="10"/>
      <c r="S6" s="10"/>
      <c r="T6" s="10"/>
      <c r="U6" s="10"/>
      <c r="V6" s="11"/>
    </row>
    <row r="9" spans="1:22" x14ac:dyDescent="0.3">
      <c r="A9" s="3" t="s">
        <v>6</v>
      </c>
      <c r="B9" s="3" t="s">
        <v>7</v>
      </c>
      <c r="C9" s="3" t="s">
        <v>8</v>
      </c>
      <c r="D9" s="3" t="s">
        <v>9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12" t="s">
        <v>31</v>
      </c>
    </row>
    <row r="10" spans="1:22" x14ac:dyDescent="0.3">
      <c r="A10" s="6">
        <v>0</v>
      </c>
      <c r="B10" s="4">
        <v>0</v>
      </c>
      <c r="C10" s="4">
        <v>0</v>
      </c>
      <c r="D10" s="4">
        <v>0</v>
      </c>
      <c r="F10" s="4" t="s">
        <v>10</v>
      </c>
      <c r="G10" s="4" t="s">
        <v>10</v>
      </c>
      <c r="H10" s="4" t="s">
        <v>10</v>
      </c>
      <c r="I10" s="4" t="s">
        <v>10</v>
      </c>
      <c r="J10" s="4">
        <f>SUM(F10:I10)</f>
        <v>0</v>
      </c>
      <c r="K10" s="4">
        <v>0</v>
      </c>
    </row>
    <row r="11" spans="1:22" x14ac:dyDescent="0.3">
      <c r="A11" s="6">
        <v>0</v>
      </c>
      <c r="B11" s="4">
        <v>0</v>
      </c>
      <c r="C11" s="4">
        <v>0</v>
      </c>
      <c r="D11" s="4">
        <v>1</v>
      </c>
      <c r="F11" s="4" t="s">
        <v>10</v>
      </c>
      <c r="G11" s="4" t="s">
        <v>10</v>
      </c>
      <c r="H11" s="4" t="s">
        <v>10</v>
      </c>
      <c r="I11" s="4">
        <f>D6</f>
        <v>6.8</v>
      </c>
      <c r="J11" s="4">
        <f>D6</f>
        <v>6.8</v>
      </c>
      <c r="K11" s="4">
        <v>1</v>
      </c>
    </row>
    <row r="12" spans="1:22" x14ac:dyDescent="0.3">
      <c r="A12" s="6">
        <v>0</v>
      </c>
      <c r="B12" s="4">
        <v>0</v>
      </c>
      <c r="C12" s="4">
        <v>1</v>
      </c>
      <c r="D12" s="4">
        <v>0</v>
      </c>
      <c r="F12" s="4" t="s">
        <v>10</v>
      </c>
      <c r="G12" s="4" t="s">
        <v>10</v>
      </c>
      <c r="H12" s="4">
        <f>D5</f>
        <v>18</v>
      </c>
      <c r="I12" s="4" t="s">
        <v>10</v>
      </c>
      <c r="J12" s="4">
        <f>D5</f>
        <v>18</v>
      </c>
      <c r="K12" s="4">
        <v>2</v>
      </c>
    </row>
    <row r="13" spans="1:22" x14ac:dyDescent="0.3">
      <c r="A13" s="6">
        <v>0</v>
      </c>
      <c r="B13" s="4">
        <v>0</v>
      </c>
      <c r="C13" s="4">
        <v>1</v>
      </c>
      <c r="D13" s="4">
        <v>1</v>
      </c>
      <c r="F13" s="4" t="s">
        <v>10</v>
      </c>
      <c r="G13" s="4" t="s">
        <v>10</v>
      </c>
      <c r="H13" s="4">
        <f>D5</f>
        <v>18</v>
      </c>
      <c r="I13" s="4">
        <f>D6</f>
        <v>6.8</v>
      </c>
      <c r="J13" s="4">
        <f>G5</f>
        <v>4.9354838709677411</v>
      </c>
      <c r="K13" s="4">
        <v>3</v>
      </c>
    </row>
    <row r="14" spans="1:22" x14ac:dyDescent="0.3">
      <c r="A14" s="6">
        <v>0</v>
      </c>
      <c r="B14" s="4">
        <v>1</v>
      </c>
      <c r="C14" s="4">
        <v>0</v>
      </c>
      <c r="D14" s="4">
        <v>0</v>
      </c>
      <c r="F14" s="4" t="s">
        <v>10</v>
      </c>
      <c r="G14" s="4">
        <f>D4</f>
        <v>200</v>
      </c>
      <c r="H14" s="4" t="s">
        <v>10</v>
      </c>
      <c r="I14" s="4" t="s">
        <v>10</v>
      </c>
      <c r="J14" s="4">
        <f>D4</f>
        <v>200</v>
      </c>
      <c r="K14" s="4">
        <v>4</v>
      </c>
    </row>
    <row r="15" spans="1:22" x14ac:dyDescent="0.3">
      <c r="A15" s="6">
        <v>0</v>
      </c>
      <c r="B15" s="4">
        <v>1</v>
      </c>
      <c r="C15" s="4">
        <v>0</v>
      </c>
      <c r="D15" s="4">
        <v>1</v>
      </c>
      <c r="F15" s="4" t="s">
        <v>10</v>
      </c>
      <c r="G15" s="4">
        <f>D4</f>
        <v>200</v>
      </c>
      <c r="H15" s="4" t="s">
        <v>10</v>
      </c>
      <c r="I15" s="4">
        <f>D6</f>
        <v>6.8</v>
      </c>
      <c r="J15" s="4">
        <f>G4</f>
        <v>6.5764023210831715</v>
      </c>
      <c r="K15" s="4">
        <v>5</v>
      </c>
    </row>
    <row r="16" spans="1:22" x14ac:dyDescent="0.3">
      <c r="A16" s="6">
        <v>0</v>
      </c>
      <c r="B16" s="4">
        <v>1</v>
      </c>
      <c r="C16" s="4">
        <v>1</v>
      </c>
      <c r="D16" s="4">
        <v>0</v>
      </c>
      <c r="F16" s="4" t="s">
        <v>10</v>
      </c>
      <c r="G16" s="4">
        <f>D4</f>
        <v>200</v>
      </c>
      <c r="H16" s="4">
        <f>D5</f>
        <v>18</v>
      </c>
      <c r="I16" s="4" t="s">
        <v>10</v>
      </c>
      <c r="J16" s="4">
        <f>F4</f>
        <v>16.513761467889907</v>
      </c>
      <c r="K16" s="4">
        <v>6</v>
      </c>
    </row>
    <row r="17" spans="1:11" x14ac:dyDescent="0.3">
      <c r="A17" s="6">
        <v>0</v>
      </c>
      <c r="B17" s="4">
        <v>1</v>
      </c>
      <c r="C17" s="4">
        <v>1</v>
      </c>
      <c r="D17" s="4">
        <v>1</v>
      </c>
      <c r="F17" s="4" t="s">
        <v>10</v>
      </c>
      <c r="G17" s="4">
        <f>D4</f>
        <v>200</v>
      </c>
      <c r="H17" s="4">
        <f>D5</f>
        <v>18</v>
      </c>
      <c r="I17" s="4">
        <f>D6</f>
        <v>6.8</v>
      </c>
      <c r="J17" s="4">
        <f>J4</f>
        <v>4.8166220683141825</v>
      </c>
      <c r="K17" s="4">
        <v>7</v>
      </c>
    </row>
    <row r="18" spans="1:11" x14ac:dyDescent="0.3">
      <c r="A18" s="6">
        <v>1</v>
      </c>
      <c r="B18" s="4">
        <v>0</v>
      </c>
      <c r="C18" s="4">
        <v>0</v>
      </c>
      <c r="D18" s="4">
        <v>0</v>
      </c>
      <c r="F18" s="4">
        <f>D3</f>
        <v>940</v>
      </c>
      <c r="G18" s="4" t="s">
        <v>10</v>
      </c>
      <c r="H18" s="4" t="s">
        <v>10</v>
      </c>
      <c r="I18" s="4" t="s">
        <v>10</v>
      </c>
      <c r="J18" s="4">
        <f>D3</f>
        <v>940</v>
      </c>
      <c r="K18" s="4">
        <v>8</v>
      </c>
    </row>
    <row r="19" spans="1:11" x14ac:dyDescent="0.3">
      <c r="A19" s="6">
        <v>1</v>
      </c>
      <c r="B19" s="4">
        <v>0</v>
      </c>
      <c r="C19" s="4">
        <v>0</v>
      </c>
      <c r="D19" s="4">
        <v>1</v>
      </c>
      <c r="F19" s="4">
        <f>D3</f>
        <v>940</v>
      </c>
      <c r="G19" s="4" t="s">
        <v>10</v>
      </c>
      <c r="H19" s="4" t="s">
        <v>10</v>
      </c>
      <c r="I19" s="4">
        <f>D6</f>
        <v>6.8</v>
      </c>
      <c r="J19" s="4">
        <f>G3</f>
        <v>6.751161808196029</v>
      </c>
      <c r="K19" s="4">
        <v>9</v>
      </c>
    </row>
    <row r="20" spans="1:11" x14ac:dyDescent="0.3">
      <c r="A20" s="6">
        <v>1</v>
      </c>
      <c r="B20" s="4">
        <v>0</v>
      </c>
      <c r="C20" s="4">
        <v>1</v>
      </c>
      <c r="D20" s="4">
        <v>0</v>
      </c>
      <c r="F20" s="4">
        <f>D3</f>
        <v>940</v>
      </c>
      <c r="G20" s="4" t="s">
        <v>10</v>
      </c>
      <c r="H20" s="4">
        <f>D5</f>
        <v>18</v>
      </c>
      <c r="I20" s="4" t="s">
        <v>10</v>
      </c>
      <c r="J20" s="4">
        <f>F3</f>
        <v>17.661795407098122</v>
      </c>
      <c r="K20" s="4">
        <v>10</v>
      </c>
    </row>
    <row r="21" spans="1:11" x14ac:dyDescent="0.3">
      <c r="A21" s="6">
        <v>1</v>
      </c>
      <c r="B21" s="4">
        <v>0</v>
      </c>
      <c r="C21" s="4">
        <v>1</v>
      </c>
      <c r="D21" s="4">
        <v>1</v>
      </c>
      <c r="F21" s="4">
        <f>D3</f>
        <v>940</v>
      </c>
      <c r="G21" s="4" t="s">
        <v>10</v>
      </c>
      <c r="H21" s="4">
        <f>D5</f>
        <v>18</v>
      </c>
      <c r="I21" s="4">
        <f>D6</f>
        <v>6.8</v>
      </c>
      <c r="J21" s="4">
        <f>J3</f>
        <v>4.909705390366299</v>
      </c>
      <c r="K21" s="4">
        <v>11</v>
      </c>
    </row>
    <row r="22" spans="1:11" x14ac:dyDescent="0.3">
      <c r="A22" s="6">
        <v>1</v>
      </c>
      <c r="B22" s="4">
        <v>1</v>
      </c>
      <c r="C22" s="4">
        <v>0</v>
      </c>
      <c r="D22" s="4">
        <v>0</v>
      </c>
      <c r="F22" s="4">
        <f>D3</f>
        <v>940</v>
      </c>
      <c r="G22" s="4">
        <f>D4</f>
        <v>200</v>
      </c>
      <c r="H22" s="4" t="s">
        <v>10</v>
      </c>
      <c r="I22" s="4" t="s">
        <v>10</v>
      </c>
      <c r="J22" s="4">
        <f>E3</f>
        <v>164.91228070175438</v>
      </c>
      <c r="K22" s="4">
        <v>12</v>
      </c>
    </row>
    <row r="23" spans="1:11" x14ac:dyDescent="0.3">
      <c r="A23" s="6">
        <v>1</v>
      </c>
      <c r="B23" s="4">
        <v>1</v>
      </c>
      <c r="C23" s="4">
        <v>0</v>
      </c>
      <c r="D23" s="4">
        <v>1</v>
      </c>
      <c r="F23" s="4">
        <f>D3</f>
        <v>940</v>
      </c>
      <c r="G23" s="4">
        <f>D4</f>
        <v>200</v>
      </c>
      <c r="H23" s="4" t="s">
        <v>10</v>
      </c>
      <c r="I23" s="4">
        <f>D6</f>
        <v>6.8</v>
      </c>
      <c r="J23" s="4">
        <f>I3</f>
        <v>6.5307123298867955</v>
      </c>
      <c r="K23" s="4">
        <v>13</v>
      </c>
    </row>
    <row r="24" spans="1:11" x14ac:dyDescent="0.3">
      <c r="A24" s="6">
        <v>1</v>
      </c>
      <c r="B24" s="4">
        <v>1</v>
      </c>
      <c r="C24" s="4">
        <v>1</v>
      </c>
      <c r="D24" s="4">
        <v>0</v>
      </c>
      <c r="F24" s="4">
        <f>D3</f>
        <v>940</v>
      </c>
      <c r="G24" s="4">
        <f>D4</f>
        <v>200</v>
      </c>
      <c r="H24" s="4">
        <f>D5</f>
        <v>18</v>
      </c>
      <c r="I24" s="4" t="s">
        <v>10</v>
      </c>
      <c r="J24" s="4">
        <f>H3</f>
        <v>16.228659121427203</v>
      </c>
      <c r="K24" s="4">
        <v>14</v>
      </c>
    </row>
    <row r="25" spans="1:11" x14ac:dyDescent="0.3">
      <c r="A25" s="6">
        <v>1</v>
      </c>
      <c r="B25" s="4">
        <v>1</v>
      </c>
      <c r="C25" s="4">
        <v>1</v>
      </c>
      <c r="D25" s="4">
        <v>1</v>
      </c>
      <c r="F25" s="4">
        <f>D3</f>
        <v>940</v>
      </c>
      <c r="G25" s="4">
        <f>D4</f>
        <v>200</v>
      </c>
      <c r="H25" s="4">
        <f>D5</f>
        <v>18</v>
      </c>
      <c r="I25" s="4">
        <f>D6</f>
        <v>6.8</v>
      </c>
      <c r="J25" s="4">
        <f>K3</f>
        <v>4.792067199562843</v>
      </c>
      <c r="K25" s="4">
        <v>15</v>
      </c>
    </row>
  </sheetData>
  <mergeCells count="1">
    <mergeCell ref="E1:F1"/>
  </mergeCells>
  <phoneticPr fontId="2" type="noConversion"/>
  <conditionalFormatting sqref="O3:V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Gain order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Uthayakumar M</dc:creator>
  <cp:lastModifiedBy>Uthayakumar M</cp:lastModifiedBy>
  <dcterms:created xsi:type="dcterms:W3CDTF">2022-10-10T06:23:19Z</dcterms:created>
  <dcterms:modified xsi:type="dcterms:W3CDTF">2022-11-21T09:35:39Z</dcterms:modified>
</cp:coreProperties>
</file>